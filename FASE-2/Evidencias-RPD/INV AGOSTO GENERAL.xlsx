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uerrero\Desktop\doña paula\"/>
    </mc:Choice>
  </mc:AlternateContent>
  <xr:revisionPtr revIDLastSave="0" documentId="13_ncr:1_{4A4867DB-5A14-48E2-A233-641EE9028352}" xr6:coauthVersionLast="47" xr6:coauthVersionMax="47" xr10:uidLastSave="{00000000-0000-0000-0000-000000000000}"/>
  <bookViews>
    <workbookView xWindow="-110" yWindow="-110" windowWidth="19420" windowHeight="10300" xr2:uid="{FF757E24-E565-49BF-A267-872A388A5027}"/>
  </bookViews>
  <sheets>
    <sheet name="Hoja1" sheetId="1" r:id="rId1"/>
    <sheet name="producto terminado" sheetId="2" r:id="rId2"/>
  </sheets>
  <definedNames>
    <definedName name="_xlnm._FilterDatabase" localSheetId="0" hidden="1">Hoja1!$A$1:$G$216</definedName>
    <definedName name="_xlnm._FilterDatabase" localSheetId="1" hidden="1">'producto terminado'!$A$1:$F$217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28" i="1" l="1"/>
  <c r="I227" i="1"/>
  <c r="I226" i="1"/>
  <c r="I225" i="1"/>
  <c r="H228" i="1"/>
  <c r="H227" i="1"/>
  <c r="H226" i="1"/>
  <c r="H225" i="1"/>
  <c r="H224" i="1"/>
  <c r="I224" i="1" s="1"/>
  <c r="F228" i="1"/>
  <c r="F227" i="1"/>
  <c r="F226" i="1"/>
  <c r="F225" i="1"/>
  <c r="F224" i="1"/>
  <c r="F110" i="1"/>
  <c r="I223" i="1" l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5" i="1"/>
  <c r="I164" i="1"/>
  <c r="I162" i="1"/>
  <c r="I161" i="1"/>
  <c r="I160" i="1"/>
  <c r="I159" i="1"/>
  <c r="I156" i="1"/>
  <c r="I155" i="1"/>
  <c r="I154" i="1"/>
  <c r="I153" i="1"/>
  <c r="I152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4" i="1"/>
  <c r="I93" i="1"/>
  <c r="I91" i="1"/>
  <c r="I90" i="1"/>
  <c r="I89" i="1"/>
  <c r="I88" i="1"/>
  <c r="I87" i="1"/>
  <c r="I86" i="1"/>
  <c r="I85" i="1"/>
  <c r="I84" i="1"/>
  <c r="I83" i="1"/>
  <c r="I82" i="1"/>
  <c r="I81" i="1"/>
  <c r="I80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I166" i="1" s="1"/>
  <c r="H165" i="1"/>
  <c r="H164" i="1"/>
  <c r="H163" i="1"/>
  <c r="I163" i="1" s="1"/>
  <c r="H162" i="1"/>
  <c r="H161" i="1"/>
  <c r="H160" i="1"/>
  <c r="H159" i="1"/>
  <c r="H158" i="1"/>
  <c r="I158" i="1" s="1"/>
  <c r="H157" i="1"/>
  <c r="I157" i="1" s="1"/>
  <c r="H156" i="1"/>
  <c r="H155" i="1"/>
  <c r="H154" i="1"/>
  <c r="H153" i="1"/>
  <c r="H152" i="1"/>
  <c r="H151" i="1"/>
  <c r="I151" i="1" s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I135" i="1" s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I120" i="1" s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I95" i="1" s="1"/>
  <c r="H94" i="1"/>
  <c r="H93" i="1"/>
  <c r="H92" i="1"/>
  <c r="I92" i="1" s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I79" i="1" s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F223" i="1"/>
  <c r="F222" i="1"/>
  <c r="F221" i="1"/>
  <c r="F220" i="1"/>
  <c r="F219" i="1"/>
  <c r="F218" i="1"/>
  <c r="F217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H78" i="1" s="1"/>
  <c r="I78" i="1" s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D43" i="2"/>
  <c r="F43" i="2" s="1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D29" i="2"/>
  <c r="F29" i="2" s="1"/>
  <c r="F28" i="2"/>
  <c r="F27" i="2"/>
  <c r="F26" i="2"/>
  <c r="F25" i="2"/>
  <c r="F24" i="2"/>
  <c r="D23" i="2"/>
  <c r="F23" i="2" s="1"/>
  <c r="F22" i="2"/>
  <c r="D21" i="2"/>
  <c r="F21" i="2" s="1"/>
  <c r="D20" i="2"/>
  <c r="F20" i="2" s="1"/>
  <c r="F19" i="2"/>
  <c r="F18" i="2"/>
  <c r="F17" i="2"/>
  <c r="F16" i="2"/>
  <c r="F15" i="2"/>
  <c r="F14" i="2"/>
  <c r="F13" i="2"/>
  <c r="F12" i="2"/>
  <c r="F11" i="2"/>
  <c r="E10" i="2"/>
  <c r="F10" i="2" s="1"/>
  <c r="F9" i="2"/>
  <c r="F8" i="2"/>
  <c r="F7" i="2"/>
  <c r="F6" i="2"/>
  <c r="F5" i="2"/>
  <c r="F4" i="2"/>
  <c r="F3" i="2"/>
  <c r="F2" i="2"/>
  <c r="I1" i="1" l="1"/>
  <c r="F1" i="2"/>
  <c r="F211" i="1" l="1"/>
  <c r="F210" i="1"/>
  <c r="F79" i="1"/>
  <c r="F78" i="1"/>
  <c r="F155" i="1" l="1"/>
  <c r="F47" i="1"/>
  <c r="F49" i="1"/>
  <c r="F45" i="1"/>
  <c r="F51" i="1"/>
  <c r="F63" i="1"/>
  <c r="F39" i="1"/>
  <c r="F42" i="1"/>
  <c r="F62" i="1"/>
  <c r="F61" i="1"/>
  <c r="F60" i="1"/>
  <c r="F59" i="1"/>
  <c r="F58" i="1"/>
  <c r="F57" i="1"/>
  <c r="F56" i="1"/>
  <c r="F41" i="1"/>
  <c r="F40" i="1"/>
  <c r="F55" i="1"/>
  <c r="F44" i="1"/>
  <c r="F46" i="1"/>
  <c r="F43" i="1"/>
  <c r="F54" i="1"/>
  <c r="F50" i="1"/>
  <c r="F52" i="1"/>
  <c r="F48" i="1"/>
  <c r="F53" i="1"/>
  <c r="F81" i="1"/>
  <c r="F9" i="1"/>
  <c r="F164" i="1"/>
  <c r="F158" i="1"/>
  <c r="F77" i="1"/>
  <c r="F162" i="1"/>
  <c r="F149" i="1"/>
  <c r="F76" i="1"/>
  <c r="F153" i="1"/>
  <c r="F75" i="1"/>
  <c r="F74" i="1"/>
  <c r="F73" i="1"/>
  <c r="F150" i="1"/>
  <c r="F209" i="1"/>
  <c r="F208" i="1"/>
  <c r="F201" i="1"/>
  <c r="F178" i="1"/>
  <c r="F192" i="1"/>
  <c r="F199" i="1"/>
  <c r="F107" i="1"/>
  <c r="F204" i="1"/>
  <c r="F177" i="1"/>
  <c r="F200" i="1"/>
  <c r="F161" i="1"/>
  <c r="F157" i="1"/>
  <c r="F106" i="1"/>
  <c r="F143" i="1"/>
  <c r="F145" i="1"/>
  <c r="F159" i="1"/>
  <c r="F148" i="1"/>
  <c r="F156" i="1"/>
  <c r="F72" i="1"/>
  <c r="F147" i="1"/>
  <c r="F196" i="1"/>
  <c r="F206" i="1"/>
  <c r="F141" i="1"/>
  <c r="F103" i="1"/>
  <c r="F102" i="1"/>
  <c r="F135" i="1"/>
  <c r="F66" i="1"/>
  <c r="F176" i="1"/>
  <c r="F175" i="1"/>
  <c r="F203" i="1"/>
  <c r="F104" i="1"/>
  <c r="F207" i="1"/>
  <c r="F144" i="1"/>
  <c r="F134" i="1"/>
  <c r="F11" i="1"/>
  <c r="F65" i="1"/>
  <c r="F174" i="1"/>
  <c r="F138" i="1"/>
  <c r="F160" i="1"/>
  <c r="F197" i="1"/>
  <c r="F186" i="1"/>
  <c r="F142" i="1"/>
  <c r="F90" i="1"/>
  <c r="F108" i="1"/>
  <c r="F67" i="1"/>
  <c r="F151" i="1"/>
  <c r="F173" i="1"/>
  <c r="F172" i="1"/>
  <c r="F118" i="1"/>
  <c r="F154" i="1"/>
  <c r="F171" i="1"/>
  <c r="F152" i="1"/>
  <c r="F109" i="1"/>
  <c r="F133" i="1"/>
  <c r="F130" i="1"/>
  <c r="F111" i="1"/>
  <c r="F23" i="1"/>
  <c r="F170" i="1"/>
  <c r="F205" i="1"/>
  <c r="F180" i="1"/>
  <c r="F91" i="1"/>
  <c r="F71" i="1"/>
  <c r="F105" i="1"/>
  <c r="F25" i="1"/>
  <c r="F26" i="1"/>
  <c r="F115" i="1"/>
  <c r="F116" i="1"/>
  <c r="F131" i="1"/>
  <c r="F119" i="1"/>
  <c r="F121" i="1"/>
  <c r="F83" i="1"/>
  <c r="F18" i="1"/>
  <c r="F38" i="1"/>
  <c r="F202" i="1"/>
  <c r="F163" i="1"/>
  <c r="F169" i="1"/>
  <c r="F194" i="1"/>
  <c r="F112" i="1"/>
  <c r="F20" i="1"/>
  <c r="F37" i="1"/>
  <c r="F10" i="1"/>
  <c r="F21" i="1"/>
  <c r="F101" i="1"/>
  <c r="F17" i="1"/>
  <c r="F36" i="1"/>
  <c r="F183" i="1"/>
  <c r="F140" i="1"/>
  <c r="F168" i="1"/>
  <c r="F193" i="1"/>
  <c r="F117" i="1"/>
  <c r="F113" i="1"/>
  <c r="F195" i="1"/>
  <c r="F122" i="1"/>
  <c r="F123" i="1"/>
  <c r="F35" i="1"/>
  <c r="F15" i="1"/>
  <c r="F146" i="1"/>
  <c r="F89" i="1"/>
  <c r="F84" i="1"/>
  <c r="F88" i="1"/>
  <c r="F68" i="1"/>
  <c r="F64" i="1"/>
  <c r="F4" i="1"/>
  <c r="F34" i="1"/>
  <c r="F24" i="1"/>
  <c r="F33" i="1"/>
  <c r="F22" i="1"/>
  <c r="F190" i="1"/>
  <c r="F137" i="1"/>
  <c r="F181" i="1"/>
  <c r="F8" i="1"/>
  <c r="F114" i="1"/>
  <c r="F167" i="1"/>
  <c r="F179" i="1"/>
  <c r="F189" i="1"/>
  <c r="F187" i="1"/>
  <c r="F182" i="1"/>
  <c r="F198" i="1"/>
  <c r="F188" i="1"/>
  <c r="F184" i="1"/>
  <c r="F125" i="1"/>
  <c r="F124" i="1"/>
  <c r="F136" i="1"/>
  <c r="F139" i="1"/>
  <c r="F127" i="1"/>
  <c r="F129" i="1"/>
  <c r="F132" i="1"/>
  <c r="F128" i="1"/>
  <c r="F100" i="1"/>
  <c r="F99" i="1"/>
  <c r="F98" i="1"/>
  <c r="F97" i="1"/>
  <c r="F70" i="1"/>
  <c r="F69" i="1"/>
  <c r="F3" i="1"/>
  <c r="F2" i="1"/>
  <c r="F14" i="1"/>
  <c r="F32" i="1"/>
  <c r="F19" i="1"/>
  <c r="F31" i="1"/>
  <c r="F27" i="1"/>
  <c r="F12" i="1"/>
  <c r="F7" i="1"/>
  <c r="F30" i="1"/>
  <c r="F29" i="1"/>
  <c r="F16" i="1"/>
  <c r="F6" i="1"/>
  <c r="F28" i="1"/>
  <c r="F13" i="1"/>
  <c r="F85" i="1"/>
  <c r="F120" i="1"/>
  <c r="F96" i="1"/>
  <c r="F80" i="1"/>
  <c r="F166" i="1"/>
  <c r="F165" i="1"/>
  <c r="F126" i="1"/>
  <c r="F191" i="1"/>
  <c r="F86" i="1"/>
  <c r="F87" i="1"/>
  <c r="F82" i="1"/>
  <c r="F185" i="1"/>
  <c r="F5" i="1"/>
  <c r="F95" i="1"/>
  <c r="F94" i="1"/>
  <c r="F93" i="1"/>
  <c r="F92" i="1"/>
  <c r="E64" i="1"/>
  <c r="F1" i="1" l="1"/>
</calcChain>
</file>

<file path=xl/sharedStrings.xml><?xml version="1.0" encoding="utf-8"?>
<sst xmlns="http://schemas.openxmlformats.org/spreadsheetml/2006/main" count="1341" uniqueCount="267">
  <si>
    <t>PRODUCTO</t>
  </si>
  <si>
    <t>DESCRIPCION</t>
  </si>
  <si>
    <t>UDM</t>
  </si>
  <si>
    <t>ABARROTES</t>
  </si>
  <si>
    <t>UN</t>
  </si>
  <si>
    <t>LT</t>
  </si>
  <si>
    <t>CONDIMENTOS</t>
  </si>
  <si>
    <t>KG</t>
  </si>
  <si>
    <t>VINAGRE DE MANZANA 5LT</t>
  </si>
  <si>
    <t>FRUTOS SECOS</t>
  </si>
  <si>
    <t>INSUMOS</t>
  </si>
  <si>
    <t>LACTEOS</t>
  </si>
  <si>
    <t xml:space="preserve">CANELA MOLIDA </t>
  </si>
  <si>
    <t xml:space="preserve">ANIS </t>
  </si>
  <si>
    <t xml:space="preserve">AJI DE COLOR </t>
  </si>
  <si>
    <t xml:space="preserve">MIX SESAMO </t>
  </si>
  <si>
    <t xml:space="preserve">SABOR AHUMADO </t>
  </si>
  <si>
    <t xml:space="preserve">CLAVOS DE OLOR </t>
  </si>
  <si>
    <t>SEMILLA DE MOSTAZA</t>
  </si>
  <si>
    <t>CAFETERIA</t>
  </si>
  <si>
    <t xml:space="preserve">CACAO MOLIDO </t>
  </si>
  <si>
    <t xml:space="preserve">PIMIENTA BLANCA </t>
  </si>
  <si>
    <t xml:space="preserve">MIX DE FRUTOS SECOS </t>
  </si>
  <si>
    <t xml:space="preserve">MAYO </t>
  </si>
  <si>
    <t>FONDOS DE ALCACHOFAS 950G</t>
  </si>
  <si>
    <t>ALCAPARRAS 965G</t>
  </si>
  <si>
    <t>PALMITOS EN RODAJA 810G</t>
  </si>
  <si>
    <t>JUGO DE TOMATE 300CC</t>
  </si>
  <si>
    <t>ACEITUNAS VERDES DESHUESADAS 1,7KG</t>
  </si>
  <si>
    <t>ACEITUNAS VERDES EN RODAJAS 1,7KG</t>
  </si>
  <si>
    <t xml:space="preserve">PEPINILLOS </t>
  </si>
  <si>
    <t>POROTO NEGRO 1KG</t>
  </si>
  <si>
    <t>LEVADURA INSTATANEA 500G</t>
  </si>
  <si>
    <t>LEVADURA SECA 125G</t>
  </si>
  <si>
    <t xml:space="preserve">PANKO BLANCO </t>
  </si>
  <si>
    <t>JAMON SERRANO</t>
  </si>
  <si>
    <t xml:space="preserve">HARINA EXTRAFINA 25KG </t>
  </si>
  <si>
    <t>MIEL 900ML</t>
  </si>
  <si>
    <t>AZUCAR RUBIA 500GR</t>
  </si>
  <si>
    <t xml:space="preserve">AJO EN POLVO </t>
  </si>
  <si>
    <t xml:space="preserve">COMINO </t>
  </si>
  <si>
    <t xml:space="preserve">PIMIENTA NEGRA </t>
  </si>
  <si>
    <t>PALO DE CANELA</t>
  </si>
  <si>
    <t>NUEZ PICADA 200GR</t>
  </si>
  <si>
    <t>PAPEL ALUMINIO 100MTS</t>
  </si>
  <si>
    <t>GAS INDIVIDUAL 230GRS</t>
  </si>
  <si>
    <t>PAPEL TAMAÑO CARTA 500 HOJAS</t>
  </si>
  <si>
    <t>ROLLO FILM 45CM x 1400m</t>
  </si>
  <si>
    <t>LECHE ENTERA INSTANTANEA EN POLVO 900GR</t>
  </si>
  <si>
    <t>MANTEQUILLA SIN SAL 5KG</t>
  </si>
  <si>
    <t xml:space="preserve">SALSA INGLESA </t>
  </si>
  <si>
    <t>QUESO DE CABRA</t>
  </si>
  <si>
    <t xml:space="preserve">ARROZ LARGO ANCHO 1GRADO </t>
  </si>
  <si>
    <t xml:space="preserve">TROCITOS BARQUILLO </t>
  </si>
  <si>
    <t xml:space="preserve">POLENTA ISTANTANEA </t>
  </si>
  <si>
    <t>MASAS LISTAS FILLO 320G</t>
  </si>
  <si>
    <t xml:space="preserve">HARINA PANIFICACION 25KG </t>
  </si>
  <si>
    <t>LUCAFFE CAPSULA ESPRESSO</t>
  </si>
  <si>
    <t xml:space="preserve">CAFÉ INSTANTANEO NESCAFE  </t>
  </si>
  <si>
    <t>TABASCO</t>
  </si>
  <si>
    <t xml:space="preserve">AZAFRAN </t>
  </si>
  <si>
    <t>GR</t>
  </si>
  <si>
    <t>SAL DE MAR 800GR</t>
  </si>
  <si>
    <t>YOGHURT NATURAL 1KG</t>
  </si>
  <si>
    <t>DULCE DE MEMBRILLO</t>
  </si>
  <si>
    <t>PAN LIBRE DE GLUTEN MOLDE INTEGRAL</t>
  </si>
  <si>
    <t xml:space="preserve">QUESO CREMA </t>
  </si>
  <si>
    <t xml:space="preserve">ENSALADA LISTA </t>
  </si>
  <si>
    <t xml:space="preserve">SEMOLA </t>
  </si>
  <si>
    <t xml:space="preserve">OREGANO ENTERO </t>
  </si>
  <si>
    <t xml:space="preserve">TRIPLE CONCENTRADO DE TOMATE </t>
  </si>
  <si>
    <t>PALMITOS ENTEROS 810G</t>
  </si>
  <si>
    <t>ACEITUNAS NEGRAS EN RODAJAS 1,7KG</t>
  </si>
  <si>
    <t>COUSCOUS 500G</t>
  </si>
  <si>
    <t xml:space="preserve">POROTO PAYAR </t>
  </si>
  <si>
    <t xml:space="preserve">CHOCLO EN GRANO </t>
  </si>
  <si>
    <t>ACEITE VEGETAL 5LT</t>
  </si>
  <si>
    <t>CIRUELAS SIN CAROZOS</t>
  </si>
  <si>
    <t>PRALINE 3KG</t>
  </si>
  <si>
    <t>VASOS DE CARTON  50UN</t>
  </si>
  <si>
    <t xml:space="preserve">MOSTAZA </t>
  </si>
  <si>
    <t>AJI CREMA</t>
  </si>
  <si>
    <t>CONGELADOS</t>
  </si>
  <si>
    <t>POROTOS GRANADOS 1KG</t>
  </si>
  <si>
    <t>AZUCAR FLOR 1KG</t>
  </si>
  <si>
    <t xml:space="preserve">KETCHUP </t>
  </si>
  <si>
    <t>ARVEJAS</t>
  </si>
  <si>
    <t>SERVILLETAS RESTAURANTE 200UN</t>
  </si>
  <si>
    <t xml:space="preserve">BOMBILLAS </t>
  </si>
  <si>
    <t>PACK</t>
  </si>
  <si>
    <t>CHOCOLATE NEGRO ECUADOR 56% CACAO</t>
  </si>
  <si>
    <t xml:space="preserve">LUCAFFE PERCOLADO </t>
  </si>
  <si>
    <t xml:space="preserve">QUESO PARMESANO </t>
  </si>
  <si>
    <t>SAL DE MESA 1KG</t>
  </si>
  <si>
    <t>LECHE EVAPORADA 366G</t>
  </si>
  <si>
    <t xml:space="preserve">ARROZ RISOTTO </t>
  </si>
  <si>
    <t>SERVILLETAS RESTAURANTE 160UN</t>
  </si>
  <si>
    <t>LECHE CONDENSADA 397GR</t>
  </si>
  <si>
    <t xml:space="preserve">CHOCOLATE BLANCO ECUADOR 31% CACAO </t>
  </si>
  <si>
    <t xml:space="preserve">METHANOL GEL </t>
  </si>
  <si>
    <t>AZUCAR BLANCA GRANULADA 1KG</t>
  </si>
  <si>
    <t>CREMA DE LECHE 1LT</t>
  </si>
  <si>
    <t>MANTEQUILLA DE CAMPO 250GR</t>
  </si>
  <si>
    <t>LECHE ENTERA LIQUIDA 1LT</t>
  </si>
  <si>
    <t xml:space="preserve">PASTA DE CHOCLO C/ALBAHACA </t>
  </si>
  <si>
    <t>TE CEDRON CITRICO</t>
  </si>
  <si>
    <t>TE BOLDO</t>
  </si>
  <si>
    <t>TE MANZANILLA</t>
  </si>
  <si>
    <t>TE MENTA PIPERITA</t>
  </si>
  <si>
    <t>TE NEGRO PURO</t>
  </si>
  <si>
    <t>PROTEINA</t>
  </si>
  <si>
    <t>HUEVO</t>
  </si>
  <si>
    <t xml:space="preserve">ACETO BALSAMICO </t>
  </si>
  <si>
    <t>ENDULZANTE 0,5</t>
  </si>
  <si>
    <t>HELADO</t>
  </si>
  <si>
    <t>VAINILLA</t>
  </si>
  <si>
    <t>CHOCOLATE</t>
  </si>
  <si>
    <t>FRAMBUESA</t>
  </si>
  <si>
    <t>FRUTILLA</t>
  </si>
  <si>
    <t>PASTA</t>
  </si>
  <si>
    <t>FETUCCINI</t>
  </si>
  <si>
    <t>STOCK</t>
  </si>
  <si>
    <t>VERDURA</t>
  </si>
  <si>
    <t>FRUTA</t>
  </si>
  <si>
    <t>AJI VERDE</t>
  </si>
  <si>
    <t>JENGIBRE</t>
  </si>
  <si>
    <t>APIO</t>
  </si>
  <si>
    <t>HIERBA</t>
  </si>
  <si>
    <t>MENTA</t>
  </si>
  <si>
    <t>BERRO JAPONES</t>
  </si>
  <si>
    <t>CIBULLETT</t>
  </si>
  <si>
    <t>PAQUETES</t>
  </si>
  <si>
    <t>RABANITO</t>
  </si>
  <si>
    <t>ALBAHACA</t>
  </si>
  <si>
    <t>CILANTRO</t>
  </si>
  <si>
    <t>PEREJIL</t>
  </si>
  <si>
    <t>PUERRO</t>
  </si>
  <si>
    <t>KIWI</t>
  </si>
  <si>
    <t>MIX DE HOJA</t>
  </si>
  <si>
    <t>LIMON SUTIL</t>
  </si>
  <si>
    <t>BROCOLI</t>
  </si>
  <si>
    <t>PIÑA</t>
  </si>
  <si>
    <t>NARANJA</t>
  </si>
  <si>
    <t xml:space="preserve">TOMATE </t>
  </si>
  <si>
    <t>PALTA HASS</t>
  </si>
  <si>
    <t>BETERRAGA</t>
  </si>
  <si>
    <t>ZANAHORIA</t>
  </si>
  <si>
    <t>MANZANA VERDE</t>
  </si>
  <si>
    <t>PERA NO MADURA</t>
  </si>
  <si>
    <t>AJO</t>
  </si>
  <si>
    <t>CHAMPIÑON BLANCO</t>
  </si>
  <si>
    <t>PEPINO</t>
  </si>
  <si>
    <t>PULPA MANGO M</t>
  </si>
  <si>
    <t>HUESILLO</t>
  </si>
  <si>
    <t>PULPA FRUTILLA M</t>
  </si>
  <si>
    <t>TOMATE CHERRY</t>
  </si>
  <si>
    <t>PIMENTON ROJO</t>
  </si>
  <si>
    <t xml:space="preserve">PULPA MANGO </t>
  </si>
  <si>
    <t xml:space="preserve">PULPA PIÑA </t>
  </si>
  <si>
    <t>ZUCCHINI BABY</t>
  </si>
  <si>
    <t xml:space="preserve">PULPA FRUTILLA </t>
  </si>
  <si>
    <t>LIMON AMARILLO</t>
  </si>
  <si>
    <t>BERENGENAS</t>
  </si>
  <si>
    <t>PIMENTON AMARILLO</t>
  </si>
  <si>
    <t xml:space="preserve">PURE DE PALTA </t>
  </si>
  <si>
    <t>PIMENTON VERDE</t>
  </si>
  <si>
    <t xml:space="preserve">ZAPALLO ITALIANO </t>
  </si>
  <si>
    <t>PAPA BLANCA</t>
  </si>
  <si>
    <t>CEBOLLA MORADA</t>
  </si>
  <si>
    <t>CEBOLLA BLANCA</t>
  </si>
  <si>
    <t>LECHUGA LOLLO VERDE</t>
  </si>
  <si>
    <t>LECHUGA LOLLO ROSA</t>
  </si>
  <si>
    <t>LOMO VETADO</t>
  </si>
  <si>
    <t xml:space="preserve">FILETE S/C </t>
  </si>
  <si>
    <t>PLATEADA ENTERO</t>
  </si>
  <si>
    <t>COSTILLAR</t>
  </si>
  <si>
    <t xml:space="preserve">MERLUSA AUSTRAL </t>
  </si>
  <si>
    <t>CONGRIO DORADO</t>
  </si>
  <si>
    <t>CORVINA</t>
  </si>
  <si>
    <t>SALMON FRESCO</t>
  </si>
  <si>
    <t>CHUTES SALMON FUME 400G</t>
  </si>
  <si>
    <t>OSTION</t>
  </si>
  <si>
    <t>PECHUGA DESH</t>
  </si>
  <si>
    <t>CAMARON ECUATORIANO</t>
  </si>
  <si>
    <t>CABEZA DE PULPO</t>
  </si>
  <si>
    <t>PULPO</t>
  </si>
  <si>
    <t>MALAYA</t>
  </si>
  <si>
    <t>GARRON DE CORDERO</t>
  </si>
  <si>
    <t>OSOBUCO</t>
  </si>
  <si>
    <t>LONGANIZA</t>
  </si>
  <si>
    <t>POLLO ARVERJADO</t>
  </si>
  <si>
    <t>COSTILLAR VACUNO</t>
  </si>
  <si>
    <t>LOMO ASADO</t>
  </si>
  <si>
    <t>PRIETAS</t>
  </si>
  <si>
    <t>TAPABARRIGA</t>
  </si>
  <si>
    <t>CHORIZO ARGENTINO</t>
  </si>
  <si>
    <t>ATUN</t>
  </si>
  <si>
    <t>CARNE DE JAIBA</t>
  </si>
  <si>
    <t>CAMARON NAILON</t>
  </si>
  <si>
    <t>SALMON AHUMADO</t>
  </si>
  <si>
    <t>CONEJO</t>
  </si>
  <si>
    <t>SALSA DE OSTION</t>
  </si>
  <si>
    <t>ART DE ASEO</t>
  </si>
  <si>
    <t>ESPONJA PARRILLERA X 3UN</t>
  </si>
  <si>
    <t>ESPONJA DE ACERO EXTRA GRANDE</t>
  </si>
  <si>
    <t>ESPONJA LISA</t>
  </si>
  <si>
    <t>ESPONJA FIBRA</t>
  </si>
  <si>
    <t>LADRILLO PARA PARRILLA</t>
  </si>
  <si>
    <t>PAÑO MULTIUSO TRADICIONAL</t>
  </si>
  <si>
    <t>TRAPERO 50x50 c/OJAL</t>
  </si>
  <si>
    <t>TRAPERO DOBLE c/OJAL 50x50</t>
  </si>
  <si>
    <t>ESCOBILLA LAVAROPA</t>
  </si>
  <si>
    <t>GUANTES BLACK L 100pcs</t>
  </si>
  <si>
    <t>GUANTES BLACK S 100pcs</t>
  </si>
  <si>
    <t>LIMPIADOR DE PISO 5LT</t>
  </si>
  <si>
    <t>CLORO GEL 1500LT</t>
  </si>
  <si>
    <t>DESINFECTANTE CUATERNARIO 9% 1LT</t>
  </si>
  <si>
    <t>DETERGENTE DESINCRUSTANTE ACIDO 1LT</t>
  </si>
  <si>
    <t>JABON USO GENERAL EN SPRAY 800ML</t>
  </si>
  <si>
    <t>GUANTE ACTIVEX NITRILO FLOCADO VERDE M</t>
  </si>
  <si>
    <t>LUSTRAMUEBKES 500ML</t>
  </si>
  <si>
    <t>PAPEL HIGENICO ROLLO JUMBO 400M</t>
  </si>
  <si>
    <t>TOALLA DE MANO HOJA SENCILLA 350M</t>
  </si>
  <si>
    <t>PAPEL HIGENICO</t>
  </si>
  <si>
    <t xml:space="preserve">BOLSA DE BASURA </t>
  </si>
  <si>
    <t xml:space="preserve">DESODORANTE AMBIENTAL </t>
  </si>
  <si>
    <t>PASTILLA LIMPIADORA HORNO AZUL</t>
  </si>
  <si>
    <t>PASTILLA LIMPIADORA HORNO VERDE</t>
  </si>
  <si>
    <t>un</t>
  </si>
  <si>
    <t>cj</t>
  </si>
  <si>
    <t>$</t>
  </si>
  <si>
    <t>COLAPEZ</t>
  </si>
  <si>
    <t>DIS401</t>
  </si>
  <si>
    <t>DIS230</t>
  </si>
  <si>
    <t>ESENCIA VAINILLA</t>
  </si>
  <si>
    <t>MARKEN</t>
  </si>
  <si>
    <t>UVA VERDE</t>
  </si>
  <si>
    <t>CARNE MOLIDA</t>
  </si>
  <si>
    <t>TROZOS DE MANGOS</t>
  </si>
  <si>
    <t>LOMO VETADO PARAGUAYO</t>
  </si>
  <si>
    <t xml:space="preserve">CHORIZO  </t>
  </si>
  <si>
    <t>MALAYA EN ROLLO</t>
  </si>
  <si>
    <t>LOMO CENTRO</t>
  </si>
  <si>
    <t>PISTACHO</t>
  </si>
  <si>
    <t>BEBIDAS</t>
  </si>
  <si>
    <t xml:space="preserve">SPRITE 1,5 </t>
  </si>
  <si>
    <t>TONICA LATA</t>
  </si>
  <si>
    <t>COCA COLA</t>
  </si>
  <si>
    <t>SPRITE ZERO LATA</t>
  </si>
  <si>
    <t>GINGER ALE ZERO LATA</t>
  </si>
  <si>
    <t>GINGER ALE ORIGINAL LATA</t>
  </si>
  <si>
    <t>SPRITE LATA ORIGINAL</t>
  </si>
  <si>
    <t>AGUA TONICA 350CC ORIGINAL</t>
  </si>
  <si>
    <t>SPRITE ORIGINAL PET 1,5</t>
  </si>
  <si>
    <t>SPRITE 350CC ORIGINAL</t>
  </si>
  <si>
    <t>COCA COLA ZERO PET 1,5</t>
  </si>
  <si>
    <t>SPRITE 350CC ZERO</t>
  </si>
  <si>
    <t>GINGER ALE 350CC ZERO</t>
  </si>
  <si>
    <t>GINGER ALE 350CC ORIGINAL</t>
  </si>
  <si>
    <t>STOCK TOTAL</t>
  </si>
  <si>
    <t>STOCK BODEGA</t>
  </si>
  <si>
    <t>STOCK RDP</t>
  </si>
  <si>
    <t xml:space="preserve"> MASA SUCRE 8CM</t>
  </si>
  <si>
    <t>PASTA DE VAINILLA 1KG EUROVANILLE</t>
  </si>
  <si>
    <t>INSPIRACION MARACUYA 3Kg.</t>
  </si>
  <si>
    <t>BLU AGAR AGAR 500 GRS</t>
  </si>
  <si>
    <t>CRISPY FRUTILLA 2-10MM 200GR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</si>
</sst>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5">
    <xf numFmtId="0" fontId="0" fillId="0" borderId="0" xfId="0"/>
    <xf numFmtId="42" fontId="0" fillId="0" borderId="0" xfId="1" applyFont="1"/>
    <xf numFmtId="0" fontId="2" fillId="0" borderId="0" xfId="0" applyFont="1"/>
    <xf numFmtId="42" fontId="2" fillId="0" borderId="0" xfId="1" applyFont="1"/>
    <xf numFmtId="42" fontId="0" fillId="0" borderId="0" xfId="0" applyNumberFormat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94AC1-BC84-4F05-AA72-26D1783B7A17}">
  <dimension ref="A1:I228"/>
  <sheetViews>
    <sheetView tabSelected="1" workbookViewId="0">
      <selection activeCell="F1" sqref="F1"/>
    </sheetView>
  </sheetViews>
  <sheetFormatPr baseColWidth="10" defaultRowHeight="14.5" x14ac:dyDescent="0.35"/>
  <cols>
    <col min="1" max="1" width="13.453125" bestFit="1" customWidth="1"/>
    <col min="2" max="2" width="39.7265625" bestFit="1" customWidth="1"/>
    <col min="3" max="3" width="5.26953125" bestFit="1" customWidth="1"/>
    <col min="4" max="4" width="13.81640625" bestFit="1" customWidth="1"/>
    <col min="5" max="5" width="10.90625" style="1"/>
    <col min="6" max="6" width="12.90625" style="1" bestFit="1" customWidth="1"/>
    <col min="7" max="7" width="10.1796875" bestFit="1" customWidth="1"/>
    <col min="8" max="8" width="11.90625" bestFit="1" customWidth="1"/>
    <col min="9" max="9" width="14.17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260</v>
      </c>
      <c r="E1" s="1" t="s">
        <v>230</v>
      </c>
      <c r="F1" s="1">
        <f>SUM(F2:F209)</f>
        <v>5913475.1500000004</v>
      </c>
      <c r="G1" t="s">
        <v>261</v>
      </c>
      <c r="H1" t="s">
        <v>259</v>
      </c>
      <c r="I1" s="4">
        <f>SUM(I2:I223)</f>
        <v>8296133.7999999989</v>
      </c>
    </row>
    <row r="2" spans="1:9" x14ac:dyDescent="0.35">
      <c r="A2" t="s">
        <v>3</v>
      </c>
      <c r="B2" t="s">
        <v>35</v>
      </c>
      <c r="C2" t="s">
        <v>7</v>
      </c>
      <c r="D2">
        <v>1</v>
      </c>
      <c r="E2" s="1">
        <v>22060</v>
      </c>
      <c r="F2" s="1">
        <f t="shared" ref="F2:F33" si="0">+E2*D2</f>
        <v>22060</v>
      </c>
      <c r="G2">
        <f>+VLOOKUP(B2,'producto terminado'!B:D,3,)</f>
        <v>0</v>
      </c>
      <c r="H2">
        <f>+G2+D2</f>
        <v>1</v>
      </c>
      <c r="I2" s="4">
        <f>+H2*E2</f>
        <v>22060</v>
      </c>
    </row>
    <row r="3" spans="1:9" x14ac:dyDescent="0.35">
      <c r="A3" t="s">
        <v>3</v>
      </c>
      <c r="B3" t="s">
        <v>36</v>
      </c>
      <c r="C3" t="s">
        <v>4</v>
      </c>
      <c r="D3">
        <v>2</v>
      </c>
      <c r="E3" s="1">
        <v>15980</v>
      </c>
      <c r="F3" s="1">
        <f t="shared" si="0"/>
        <v>31960</v>
      </c>
      <c r="G3">
        <f>+VLOOKUP(B3,'producto terminado'!B:D,3,)</f>
        <v>0</v>
      </c>
      <c r="H3">
        <f t="shared" ref="H3:H66" si="1">+G3+D3</f>
        <v>2</v>
      </c>
      <c r="I3" s="4">
        <f t="shared" ref="I3:I66" si="2">+H3*E3</f>
        <v>31960</v>
      </c>
    </row>
    <row r="4" spans="1:9" x14ac:dyDescent="0.35">
      <c r="A4" t="s">
        <v>3</v>
      </c>
      <c r="B4" t="s">
        <v>56</v>
      </c>
      <c r="C4" t="s">
        <v>4</v>
      </c>
      <c r="D4">
        <v>3</v>
      </c>
      <c r="E4" s="1">
        <v>15850</v>
      </c>
      <c r="F4" s="1">
        <f t="shared" si="0"/>
        <v>47550</v>
      </c>
      <c r="G4">
        <f>+VLOOKUP(B4,'producto terminado'!B:D,3,)</f>
        <v>0</v>
      </c>
      <c r="H4">
        <f t="shared" si="1"/>
        <v>3</v>
      </c>
      <c r="I4" s="4">
        <f t="shared" si="2"/>
        <v>47550</v>
      </c>
    </row>
    <row r="5" spans="1:9" x14ac:dyDescent="0.35">
      <c r="A5" t="s">
        <v>3</v>
      </c>
      <c r="B5" t="s">
        <v>16</v>
      </c>
      <c r="C5" t="s">
        <v>5</v>
      </c>
      <c r="D5">
        <v>0.33</v>
      </c>
      <c r="E5" s="1">
        <v>12489</v>
      </c>
      <c r="F5" s="1">
        <f t="shared" si="0"/>
        <v>4121.37</v>
      </c>
      <c r="G5">
        <f>+VLOOKUP(B5,'producto terminado'!B:D,3,)</f>
        <v>0</v>
      </c>
      <c r="H5">
        <f t="shared" si="1"/>
        <v>0.33</v>
      </c>
      <c r="I5" s="4">
        <f t="shared" si="2"/>
        <v>4121.37</v>
      </c>
    </row>
    <row r="6" spans="1:9" x14ac:dyDescent="0.35">
      <c r="A6" t="s">
        <v>3</v>
      </c>
      <c r="B6" t="s">
        <v>25</v>
      </c>
      <c r="C6" t="s">
        <v>4</v>
      </c>
      <c r="D6">
        <v>2</v>
      </c>
      <c r="E6" s="1">
        <v>7983</v>
      </c>
      <c r="F6" s="1">
        <f t="shared" si="0"/>
        <v>15966</v>
      </c>
      <c r="G6">
        <f>+VLOOKUP(B6,'producto terminado'!B:D,3,)</f>
        <v>0</v>
      </c>
      <c r="H6">
        <f t="shared" si="1"/>
        <v>2</v>
      </c>
      <c r="I6" s="4">
        <f t="shared" si="2"/>
        <v>15966</v>
      </c>
    </row>
    <row r="7" spans="1:9" x14ac:dyDescent="0.35">
      <c r="A7" t="s">
        <v>3</v>
      </c>
      <c r="B7" t="s">
        <v>29</v>
      </c>
      <c r="C7" t="s">
        <v>4</v>
      </c>
      <c r="D7">
        <v>1</v>
      </c>
      <c r="E7" s="1">
        <v>5670</v>
      </c>
      <c r="F7" s="1">
        <f t="shared" si="0"/>
        <v>5670</v>
      </c>
      <c r="G7">
        <f>+VLOOKUP(B7,'producto terminado'!B:D,3,)</f>
        <v>0</v>
      </c>
      <c r="H7">
        <f t="shared" si="1"/>
        <v>1</v>
      </c>
      <c r="I7" s="4">
        <f t="shared" si="2"/>
        <v>5670</v>
      </c>
    </row>
    <row r="8" spans="1:9" x14ac:dyDescent="0.35">
      <c r="A8" t="s">
        <v>3</v>
      </c>
      <c r="B8" t="s">
        <v>50</v>
      </c>
      <c r="C8" t="s">
        <v>5</v>
      </c>
      <c r="D8">
        <v>1.5</v>
      </c>
      <c r="E8" s="1">
        <v>4760</v>
      </c>
      <c r="F8" s="1">
        <f t="shared" si="0"/>
        <v>7140</v>
      </c>
      <c r="G8">
        <f>+VLOOKUP(B8,'producto terminado'!B:D,3,)</f>
        <v>0</v>
      </c>
      <c r="H8">
        <f t="shared" si="1"/>
        <v>1.5</v>
      </c>
      <c r="I8" s="4">
        <f t="shared" si="2"/>
        <v>7140</v>
      </c>
    </row>
    <row r="9" spans="1:9" x14ac:dyDescent="0.35">
      <c r="A9" t="s">
        <v>3</v>
      </c>
      <c r="B9" t="s">
        <v>112</v>
      </c>
      <c r="C9" t="s">
        <v>5</v>
      </c>
      <c r="D9">
        <v>0</v>
      </c>
      <c r="E9" s="1">
        <v>4520</v>
      </c>
      <c r="F9" s="1">
        <f t="shared" si="0"/>
        <v>0</v>
      </c>
      <c r="G9">
        <f>+VLOOKUP(B9,'producto terminado'!B:D,3,)</f>
        <v>0</v>
      </c>
      <c r="H9">
        <f t="shared" si="1"/>
        <v>0</v>
      </c>
      <c r="I9" s="4">
        <f t="shared" si="2"/>
        <v>0</v>
      </c>
    </row>
    <row r="10" spans="1:9" x14ac:dyDescent="0.35">
      <c r="A10" t="s">
        <v>3</v>
      </c>
      <c r="B10" t="s">
        <v>71</v>
      </c>
      <c r="C10" t="s">
        <v>4</v>
      </c>
      <c r="D10">
        <v>3</v>
      </c>
      <c r="E10" s="1">
        <v>3780</v>
      </c>
      <c r="F10" s="1">
        <f t="shared" si="0"/>
        <v>11340</v>
      </c>
      <c r="G10">
        <f>+VLOOKUP(B10,'producto terminado'!B:D,3,)</f>
        <v>0</v>
      </c>
      <c r="H10">
        <f t="shared" si="1"/>
        <v>3</v>
      </c>
      <c r="I10" s="4">
        <f t="shared" si="2"/>
        <v>11340</v>
      </c>
    </row>
    <row r="11" spans="1:9" x14ac:dyDescent="0.35">
      <c r="A11" t="s">
        <v>3</v>
      </c>
      <c r="B11" t="s">
        <v>95</v>
      </c>
      <c r="C11" t="s">
        <v>7</v>
      </c>
      <c r="D11">
        <v>16</v>
      </c>
      <c r="E11" s="1">
        <v>3600</v>
      </c>
      <c r="F11" s="1">
        <f t="shared" si="0"/>
        <v>57600</v>
      </c>
      <c r="G11">
        <f>+VLOOKUP(B11,'producto terminado'!B:D,3,)</f>
        <v>4</v>
      </c>
      <c r="H11">
        <f t="shared" si="1"/>
        <v>20</v>
      </c>
      <c r="I11" s="4">
        <f t="shared" si="2"/>
        <v>72000</v>
      </c>
    </row>
    <row r="12" spans="1:9" x14ac:dyDescent="0.35">
      <c r="A12" t="s">
        <v>3</v>
      </c>
      <c r="B12" t="s">
        <v>30</v>
      </c>
      <c r="C12" t="s">
        <v>7</v>
      </c>
      <c r="D12">
        <v>1</v>
      </c>
      <c r="E12" s="1">
        <v>3450</v>
      </c>
      <c r="F12" s="1">
        <f t="shared" si="0"/>
        <v>3450</v>
      </c>
      <c r="G12">
        <f>+VLOOKUP(B12,'producto terminado'!B:D,3,)</f>
        <v>0</v>
      </c>
      <c r="H12">
        <f t="shared" si="1"/>
        <v>1</v>
      </c>
      <c r="I12" s="4">
        <f t="shared" si="2"/>
        <v>3450</v>
      </c>
    </row>
    <row r="13" spans="1:9" x14ac:dyDescent="0.35">
      <c r="A13" t="s">
        <v>3</v>
      </c>
      <c r="B13" t="s">
        <v>23</v>
      </c>
      <c r="C13" t="s">
        <v>4</v>
      </c>
      <c r="D13">
        <v>1</v>
      </c>
      <c r="E13" s="1">
        <v>3190</v>
      </c>
      <c r="F13" s="1">
        <f t="shared" si="0"/>
        <v>3190</v>
      </c>
      <c r="G13">
        <f>+VLOOKUP(B13,'producto terminado'!B:D,3,)</f>
        <v>0</v>
      </c>
      <c r="H13">
        <f t="shared" si="1"/>
        <v>1</v>
      </c>
      <c r="I13" s="4">
        <f t="shared" si="2"/>
        <v>3190</v>
      </c>
    </row>
    <row r="14" spans="1:9" x14ac:dyDescent="0.35">
      <c r="A14" t="s">
        <v>3</v>
      </c>
      <c r="B14" t="s">
        <v>34</v>
      </c>
      <c r="C14" t="s">
        <v>7</v>
      </c>
      <c r="D14">
        <v>3</v>
      </c>
      <c r="E14" s="1">
        <v>2940</v>
      </c>
      <c r="F14" s="1">
        <f t="shared" si="0"/>
        <v>8820</v>
      </c>
      <c r="G14">
        <f>+VLOOKUP(B14,'producto terminado'!B:D,3,)</f>
        <v>0</v>
      </c>
      <c r="H14">
        <f t="shared" si="1"/>
        <v>3</v>
      </c>
      <c r="I14" s="4">
        <f t="shared" si="2"/>
        <v>8820</v>
      </c>
    </row>
    <row r="15" spans="1:9" x14ac:dyDescent="0.35">
      <c r="A15" t="s">
        <v>3</v>
      </c>
      <c r="B15" t="s">
        <v>64</v>
      </c>
      <c r="C15" t="s">
        <v>4</v>
      </c>
      <c r="D15">
        <v>1</v>
      </c>
      <c r="E15" s="1">
        <v>2860</v>
      </c>
      <c r="F15" s="1">
        <f t="shared" si="0"/>
        <v>2860</v>
      </c>
      <c r="G15">
        <f>+VLOOKUP(B15,'producto terminado'!B:D,3,)</f>
        <v>0</v>
      </c>
      <c r="H15">
        <f t="shared" si="1"/>
        <v>1</v>
      </c>
      <c r="I15" s="4">
        <f t="shared" si="2"/>
        <v>2860</v>
      </c>
    </row>
    <row r="16" spans="1:9" x14ac:dyDescent="0.35">
      <c r="A16" t="s">
        <v>3</v>
      </c>
      <c r="B16" t="s">
        <v>26</v>
      </c>
      <c r="C16" t="s">
        <v>4</v>
      </c>
      <c r="D16">
        <v>0</v>
      </c>
      <c r="E16" s="1">
        <v>2730</v>
      </c>
      <c r="F16" s="1">
        <f t="shared" si="0"/>
        <v>0</v>
      </c>
      <c r="G16">
        <f>+VLOOKUP(B16,'producto terminado'!B:D,3,)</f>
        <v>0</v>
      </c>
      <c r="H16">
        <f t="shared" si="1"/>
        <v>0</v>
      </c>
      <c r="I16" s="4">
        <f t="shared" si="2"/>
        <v>0</v>
      </c>
    </row>
    <row r="17" spans="1:9" x14ac:dyDescent="0.35">
      <c r="A17" t="s">
        <v>3</v>
      </c>
      <c r="B17" t="s">
        <v>68</v>
      </c>
      <c r="C17" t="s">
        <v>7</v>
      </c>
      <c r="D17">
        <v>2.8</v>
      </c>
      <c r="E17" s="1">
        <v>2630</v>
      </c>
      <c r="F17" s="1">
        <f t="shared" si="0"/>
        <v>7363.9999999999991</v>
      </c>
      <c r="G17">
        <f>+VLOOKUP(B17,'producto terminado'!B:D,3,)</f>
        <v>0</v>
      </c>
      <c r="H17">
        <f t="shared" si="1"/>
        <v>2.8</v>
      </c>
      <c r="I17" s="4">
        <f t="shared" si="2"/>
        <v>7363.9999999999991</v>
      </c>
    </row>
    <row r="18" spans="1:9" x14ac:dyDescent="0.35">
      <c r="A18" t="s">
        <v>3</v>
      </c>
      <c r="B18" t="s">
        <v>75</v>
      </c>
      <c r="C18" t="s">
        <v>7</v>
      </c>
      <c r="D18">
        <v>3</v>
      </c>
      <c r="E18" s="1">
        <v>2628</v>
      </c>
      <c r="F18" s="1">
        <f t="shared" si="0"/>
        <v>7884</v>
      </c>
      <c r="G18">
        <f>+VLOOKUP(B18,'producto terminado'!B:D,3,)</f>
        <v>0</v>
      </c>
      <c r="H18">
        <f t="shared" si="1"/>
        <v>3</v>
      </c>
      <c r="I18" s="4">
        <f t="shared" si="2"/>
        <v>7884</v>
      </c>
    </row>
    <row r="19" spans="1:9" x14ac:dyDescent="0.35">
      <c r="A19" t="s">
        <v>3</v>
      </c>
      <c r="B19" t="s">
        <v>32</v>
      </c>
      <c r="C19" t="s">
        <v>4</v>
      </c>
      <c r="D19">
        <v>2</v>
      </c>
      <c r="E19" s="1">
        <v>2530</v>
      </c>
      <c r="F19" s="1">
        <f t="shared" si="0"/>
        <v>5060</v>
      </c>
      <c r="G19">
        <f>+VLOOKUP(B19,'producto terminado'!B:D,3,)</f>
        <v>0</v>
      </c>
      <c r="H19">
        <f t="shared" si="1"/>
        <v>2</v>
      </c>
      <c r="I19" s="4">
        <f t="shared" si="2"/>
        <v>5060</v>
      </c>
    </row>
    <row r="20" spans="1:9" x14ac:dyDescent="0.35">
      <c r="A20" t="s">
        <v>3</v>
      </c>
      <c r="B20" t="s">
        <v>73</v>
      </c>
      <c r="C20" t="s">
        <v>4</v>
      </c>
      <c r="D20">
        <v>3</v>
      </c>
      <c r="E20" s="1">
        <v>2530</v>
      </c>
      <c r="F20" s="1">
        <f t="shared" si="0"/>
        <v>7590</v>
      </c>
      <c r="G20">
        <f>+VLOOKUP(B20,'producto terminado'!B:D,3,)</f>
        <v>0</v>
      </c>
      <c r="H20">
        <f t="shared" si="1"/>
        <v>3</v>
      </c>
      <c r="I20" s="4">
        <f t="shared" si="2"/>
        <v>7590</v>
      </c>
    </row>
    <row r="21" spans="1:9" x14ac:dyDescent="0.35">
      <c r="A21" t="s">
        <v>3</v>
      </c>
      <c r="B21" t="s">
        <v>70</v>
      </c>
      <c r="C21" t="s">
        <v>7</v>
      </c>
      <c r="D21">
        <v>4.4000000000000004</v>
      </c>
      <c r="E21" s="1">
        <v>2364</v>
      </c>
      <c r="F21" s="1">
        <f t="shared" si="0"/>
        <v>10401.6</v>
      </c>
      <c r="G21">
        <f>+VLOOKUP(B21,'producto terminado'!B:D,3,)</f>
        <v>0</v>
      </c>
      <c r="H21">
        <f t="shared" si="1"/>
        <v>4.4000000000000004</v>
      </c>
      <c r="I21" s="4">
        <f t="shared" si="2"/>
        <v>10401.6</v>
      </c>
    </row>
    <row r="22" spans="1:9" x14ac:dyDescent="0.35">
      <c r="A22" t="s">
        <v>3</v>
      </c>
      <c r="B22" t="s">
        <v>52</v>
      </c>
      <c r="C22" t="s">
        <v>7</v>
      </c>
      <c r="D22">
        <v>2.5</v>
      </c>
      <c r="E22" s="1">
        <v>1890</v>
      </c>
      <c r="F22" s="1">
        <f t="shared" si="0"/>
        <v>4725</v>
      </c>
      <c r="G22">
        <f>+VLOOKUP(B22,'producto terminado'!B:D,3,)</f>
        <v>0</v>
      </c>
      <c r="H22">
        <f t="shared" si="1"/>
        <v>2.5</v>
      </c>
      <c r="I22" s="4">
        <f t="shared" si="2"/>
        <v>4725</v>
      </c>
    </row>
    <row r="23" spans="1:9" x14ac:dyDescent="0.35">
      <c r="A23" t="s">
        <v>3</v>
      </c>
      <c r="B23" t="s">
        <v>85</v>
      </c>
      <c r="C23" t="s">
        <v>4</v>
      </c>
      <c r="D23">
        <v>2</v>
      </c>
      <c r="E23" s="1">
        <v>1889</v>
      </c>
      <c r="F23" s="1">
        <f t="shared" si="0"/>
        <v>3778</v>
      </c>
      <c r="G23">
        <f>+VLOOKUP(B23,'producto terminado'!B:D,3,)</f>
        <v>0</v>
      </c>
      <c r="H23">
        <f t="shared" si="1"/>
        <v>2</v>
      </c>
      <c r="I23" s="4">
        <f t="shared" si="2"/>
        <v>3778</v>
      </c>
    </row>
    <row r="24" spans="1:9" x14ac:dyDescent="0.35">
      <c r="A24" t="s">
        <v>3</v>
      </c>
      <c r="B24" t="s">
        <v>54</v>
      </c>
      <c r="C24" t="s">
        <v>7</v>
      </c>
      <c r="D24">
        <v>2</v>
      </c>
      <c r="E24" s="1">
        <v>1800</v>
      </c>
      <c r="F24" s="1">
        <f t="shared" si="0"/>
        <v>3600</v>
      </c>
      <c r="G24">
        <f>+VLOOKUP(B24,'producto terminado'!B:D,3,)</f>
        <v>0</v>
      </c>
      <c r="H24">
        <f t="shared" si="1"/>
        <v>2</v>
      </c>
      <c r="I24" s="4">
        <f t="shared" si="2"/>
        <v>3600</v>
      </c>
    </row>
    <row r="25" spans="1:9" x14ac:dyDescent="0.35">
      <c r="A25" t="s">
        <v>3</v>
      </c>
      <c r="B25" t="s">
        <v>81</v>
      </c>
      <c r="C25" t="s">
        <v>4</v>
      </c>
      <c r="D25">
        <v>5</v>
      </c>
      <c r="E25" s="1">
        <v>1350</v>
      </c>
      <c r="F25" s="1">
        <f t="shared" si="0"/>
        <v>6750</v>
      </c>
      <c r="G25">
        <f>+VLOOKUP(B25,'producto terminado'!B:D,3,)</f>
        <v>0</v>
      </c>
      <c r="H25">
        <f t="shared" si="1"/>
        <v>5</v>
      </c>
      <c r="I25" s="4">
        <f t="shared" si="2"/>
        <v>6750</v>
      </c>
    </row>
    <row r="26" spans="1:9" x14ac:dyDescent="0.35">
      <c r="A26" t="s">
        <v>3</v>
      </c>
      <c r="B26" t="s">
        <v>80</v>
      </c>
      <c r="C26" t="s">
        <v>4</v>
      </c>
      <c r="D26">
        <v>5</v>
      </c>
      <c r="E26" s="1">
        <v>1120</v>
      </c>
      <c r="F26" s="1">
        <f t="shared" si="0"/>
        <v>5600</v>
      </c>
      <c r="G26">
        <f>+VLOOKUP(B26,'producto terminado'!B:D,3,)</f>
        <v>0</v>
      </c>
      <c r="H26">
        <f t="shared" si="1"/>
        <v>5</v>
      </c>
      <c r="I26" s="4">
        <f t="shared" si="2"/>
        <v>5600</v>
      </c>
    </row>
    <row r="27" spans="1:9" x14ac:dyDescent="0.35">
      <c r="A27" t="s">
        <v>3</v>
      </c>
      <c r="B27" t="s">
        <v>231</v>
      </c>
      <c r="C27" t="s">
        <v>4</v>
      </c>
      <c r="D27">
        <v>112</v>
      </c>
      <c r="E27" s="1">
        <v>125</v>
      </c>
      <c r="F27" s="1">
        <f t="shared" si="0"/>
        <v>14000</v>
      </c>
      <c r="G27">
        <f>+VLOOKUP(B27,'producto terminado'!B:D,3,)</f>
        <v>0</v>
      </c>
      <c r="H27">
        <f t="shared" si="1"/>
        <v>112</v>
      </c>
      <c r="I27" s="4">
        <f t="shared" si="2"/>
        <v>14000</v>
      </c>
    </row>
    <row r="28" spans="1:9" x14ac:dyDescent="0.35">
      <c r="A28" t="s">
        <v>3</v>
      </c>
      <c r="B28" t="s">
        <v>24</v>
      </c>
      <c r="C28" t="s">
        <v>4</v>
      </c>
      <c r="D28">
        <v>1</v>
      </c>
      <c r="F28" s="1">
        <f t="shared" si="0"/>
        <v>0</v>
      </c>
      <c r="G28">
        <f>+VLOOKUP(B28,'producto terminado'!B:D,3,)</f>
        <v>0</v>
      </c>
      <c r="H28">
        <f t="shared" si="1"/>
        <v>1</v>
      </c>
      <c r="I28" s="4">
        <f t="shared" si="2"/>
        <v>0</v>
      </c>
    </row>
    <row r="29" spans="1:9" x14ac:dyDescent="0.35">
      <c r="A29" t="s">
        <v>3</v>
      </c>
      <c r="B29" t="s">
        <v>27</v>
      </c>
      <c r="C29" t="s">
        <v>4</v>
      </c>
      <c r="D29">
        <v>1</v>
      </c>
      <c r="F29" s="1">
        <f t="shared" si="0"/>
        <v>0</v>
      </c>
      <c r="G29">
        <f>+VLOOKUP(B29,'producto terminado'!B:D,3,)</f>
        <v>0</v>
      </c>
      <c r="H29">
        <f t="shared" si="1"/>
        <v>1</v>
      </c>
      <c r="I29" s="4">
        <f t="shared" si="2"/>
        <v>0</v>
      </c>
    </row>
    <row r="30" spans="1:9" x14ac:dyDescent="0.35">
      <c r="A30" t="s">
        <v>3</v>
      </c>
      <c r="B30" t="s">
        <v>28</v>
      </c>
      <c r="C30" t="s">
        <v>4</v>
      </c>
      <c r="D30">
        <v>1</v>
      </c>
      <c r="F30" s="1">
        <f t="shared" si="0"/>
        <v>0</v>
      </c>
      <c r="G30">
        <f>+VLOOKUP(B30,'producto terminado'!B:D,3,)</f>
        <v>0</v>
      </c>
      <c r="H30">
        <f t="shared" si="1"/>
        <v>1</v>
      </c>
      <c r="I30" s="4">
        <f t="shared" si="2"/>
        <v>0</v>
      </c>
    </row>
    <row r="31" spans="1:9" x14ac:dyDescent="0.35">
      <c r="A31" t="s">
        <v>3</v>
      </c>
      <c r="B31" t="s">
        <v>31</v>
      </c>
      <c r="C31" t="s">
        <v>4</v>
      </c>
      <c r="D31">
        <v>1</v>
      </c>
      <c r="F31" s="1">
        <f t="shared" si="0"/>
        <v>0</v>
      </c>
      <c r="G31">
        <f>+VLOOKUP(B31,'producto terminado'!B:D,3,)</f>
        <v>0</v>
      </c>
      <c r="H31">
        <f t="shared" si="1"/>
        <v>1</v>
      </c>
      <c r="I31" s="4">
        <f t="shared" si="2"/>
        <v>0</v>
      </c>
    </row>
    <row r="32" spans="1:9" x14ac:dyDescent="0.35">
      <c r="A32" t="s">
        <v>3</v>
      </c>
      <c r="B32" t="s">
        <v>33</v>
      </c>
      <c r="C32" t="s">
        <v>4</v>
      </c>
      <c r="D32">
        <v>1</v>
      </c>
      <c r="F32" s="1">
        <f t="shared" si="0"/>
        <v>0</v>
      </c>
      <c r="G32">
        <f>+VLOOKUP(B32,'producto terminado'!B:D,3,)</f>
        <v>0</v>
      </c>
      <c r="H32">
        <f t="shared" si="1"/>
        <v>1</v>
      </c>
      <c r="I32" s="4">
        <f t="shared" si="2"/>
        <v>0</v>
      </c>
    </row>
    <row r="33" spans="1:9" x14ac:dyDescent="0.35">
      <c r="A33" t="s">
        <v>3</v>
      </c>
      <c r="B33" t="s">
        <v>53</v>
      </c>
      <c r="C33" t="s">
        <v>7</v>
      </c>
      <c r="D33">
        <v>1</v>
      </c>
      <c r="F33" s="1">
        <f t="shared" si="0"/>
        <v>0</v>
      </c>
      <c r="G33">
        <f>+VLOOKUP(B33,'producto terminado'!B:D,3,)</f>
        <v>0</v>
      </c>
      <c r="H33">
        <f t="shared" si="1"/>
        <v>1</v>
      </c>
      <c r="I33" s="4">
        <f t="shared" si="2"/>
        <v>0</v>
      </c>
    </row>
    <row r="34" spans="1:9" x14ac:dyDescent="0.35">
      <c r="A34" t="s">
        <v>3</v>
      </c>
      <c r="B34" t="s">
        <v>55</v>
      </c>
      <c r="C34" t="s">
        <v>4</v>
      </c>
      <c r="D34">
        <v>0</v>
      </c>
      <c r="F34" s="1">
        <f t="shared" ref="F34:F65" si="3">+E34*D34</f>
        <v>0</v>
      </c>
      <c r="G34">
        <f>+VLOOKUP(B34,'producto terminado'!B:D,3,)</f>
        <v>0</v>
      </c>
      <c r="H34">
        <f t="shared" si="1"/>
        <v>0</v>
      </c>
      <c r="I34" s="4">
        <f t="shared" si="2"/>
        <v>0</v>
      </c>
    </row>
    <row r="35" spans="1:9" x14ac:dyDescent="0.35">
      <c r="A35" t="s">
        <v>3</v>
      </c>
      <c r="B35" t="s">
        <v>65</v>
      </c>
      <c r="C35" t="s">
        <v>4</v>
      </c>
      <c r="D35">
        <v>1</v>
      </c>
      <c r="F35" s="1">
        <f t="shared" si="3"/>
        <v>0</v>
      </c>
      <c r="G35">
        <f>+VLOOKUP(B35,'producto terminado'!B:D,3,)</f>
        <v>0</v>
      </c>
      <c r="H35">
        <f t="shared" si="1"/>
        <v>1</v>
      </c>
      <c r="I35" s="4">
        <f t="shared" si="2"/>
        <v>0</v>
      </c>
    </row>
    <row r="36" spans="1:9" x14ac:dyDescent="0.35">
      <c r="A36" t="s">
        <v>3</v>
      </c>
      <c r="B36" t="s">
        <v>67</v>
      </c>
      <c r="C36" t="s">
        <v>7</v>
      </c>
      <c r="D36">
        <v>2.5</v>
      </c>
      <c r="F36" s="1">
        <f t="shared" si="3"/>
        <v>0</v>
      </c>
      <c r="G36">
        <f>+VLOOKUP(B36,'producto terminado'!B:D,3,)</f>
        <v>0</v>
      </c>
      <c r="H36">
        <f t="shared" si="1"/>
        <v>2.5</v>
      </c>
      <c r="I36" s="4">
        <f t="shared" si="2"/>
        <v>0</v>
      </c>
    </row>
    <row r="37" spans="1:9" x14ac:dyDescent="0.35">
      <c r="A37" t="s">
        <v>3</v>
      </c>
      <c r="B37" t="s">
        <v>72</v>
      </c>
      <c r="C37" t="s">
        <v>4</v>
      </c>
      <c r="D37">
        <v>2</v>
      </c>
      <c r="F37" s="1">
        <f t="shared" si="3"/>
        <v>0</v>
      </c>
      <c r="G37">
        <f>+VLOOKUP(B37,'producto terminado'!B:D,3,)</f>
        <v>0</v>
      </c>
      <c r="H37">
        <f t="shared" si="1"/>
        <v>2</v>
      </c>
      <c r="I37" s="4">
        <f t="shared" si="2"/>
        <v>0</v>
      </c>
    </row>
    <row r="38" spans="1:9" x14ac:dyDescent="0.35">
      <c r="A38" t="s">
        <v>3</v>
      </c>
      <c r="B38" t="s">
        <v>74</v>
      </c>
      <c r="C38" t="s">
        <v>7</v>
      </c>
      <c r="D38">
        <v>0</v>
      </c>
      <c r="F38" s="1">
        <f t="shared" si="3"/>
        <v>0</v>
      </c>
      <c r="G38">
        <f>+VLOOKUP(B38,'producto terminado'!B:D,3,)</f>
        <v>0</v>
      </c>
      <c r="H38">
        <f t="shared" si="1"/>
        <v>0</v>
      </c>
      <c r="I38" s="4">
        <f t="shared" si="2"/>
        <v>0</v>
      </c>
    </row>
    <row r="39" spans="1:9" x14ac:dyDescent="0.35">
      <c r="A39" t="s">
        <v>202</v>
      </c>
      <c r="B39" t="s">
        <v>222</v>
      </c>
      <c r="C39" t="s">
        <v>228</v>
      </c>
      <c r="D39">
        <v>6</v>
      </c>
      <c r="E39" s="1">
        <v>6578</v>
      </c>
      <c r="F39" s="1">
        <f t="shared" si="3"/>
        <v>39468</v>
      </c>
      <c r="G39">
        <f>+VLOOKUP(B39,'producto terminado'!B:D,3,)</f>
        <v>0</v>
      </c>
      <c r="H39">
        <f t="shared" si="1"/>
        <v>6</v>
      </c>
      <c r="I39" s="4">
        <f t="shared" si="2"/>
        <v>39468</v>
      </c>
    </row>
    <row r="40" spans="1:9" x14ac:dyDescent="0.35">
      <c r="A40" t="s">
        <v>202</v>
      </c>
      <c r="B40" t="s">
        <v>212</v>
      </c>
      <c r="C40" t="s">
        <v>229</v>
      </c>
      <c r="D40">
        <v>4</v>
      </c>
      <c r="E40" s="1">
        <v>4650</v>
      </c>
      <c r="F40" s="1">
        <f t="shared" si="3"/>
        <v>18600</v>
      </c>
      <c r="G40">
        <f>+VLOOKUP(B40,'producto terminado'!B:D,3,)</f>
        <v>0</v>
      </c>
      <c r="H40">
        <f t="shared" si="1"/>
        <v>4</v>
      </c>
      <c r="I40" s="4">
        <f t="shared" si="2"/>
        <v>18600</v>
      </c>
    </row>
    <row r="41" spans="1:9" x14ac:dyDescent="0.35">
      <c r="A41" t="s">
        <v>202</v>
      </c>
      <c r="B41" t="s">
        <v>213</v>
      </c>
      <c r="C41" t="s">
        <v>229</v>
      </c>
      <c r="D41">
        <v>2</v>
      </c>
      <c r="E41" s="1">
        <v>4650</v>
      </c>
      <c r="F41" s="1">
        <f t="shared" si="3"/>
        <v>9300</v>
      </c>
      <c r="G41">
        <f>+VLOOKUP(B41,'producto terminado'!B:D,3,)</f>
        <v>0</v>
      </c>
      <c r="H41">
        <f t="shared" si="1"/>
        <v>2</v>
      </c>
      <c r="I41" s="4">
        <f t="shared" si="2"/>
        <v>9300</v>
      </c>
    </row>
    <row r="42" spans="1:9" x14ac:dyDescent="0.35">
      <c r="A42" t="s">
        <v>202</v>
      </c>
      <c r="B42" t="s">
        <v>221</v>
      </c>
      <c r="C42" t="s">
        <v>228</v>
      </c>
      <c r="D42">
        <v>5</v>
      </c>
      <c r="E42" s="1">
        <v>2035</v>
      </c>
      <c r="F42" s="1">
        <f t="shared" si="3"/>
        <v>10175</v>
      </c>
      <c r="G42">
        <f>+VLOOKUP(B42,'producto terminado'!B:D,3,)</f>
        <v>0</v>
      </c>
      <c r="H42">
        <f t="shared" si="1"/>
        <v>5</v>
      </c>
      <c r="I42" s="4">
        <f t="shared" si="2"/>
        <v>10175</v>
      </c>
    </row>
    <row r="43" spans="1:9" x14ac:dyDescent="0.35">
      <c r="A43" t="s">
        <v>202</v>
      </c>
      <c r="B43" t="s">
        <v>208</v>
      </c>
      <c r="C43" t="s">
        <v>89</v>
      </c>
      <c r="D43">
        <v>6</v>
      </c>
      <c r="E43" s="1">
        <v>1640</v>
      </c>
      <c r="F43" s="1">
        <f t="shared" si="3"/>
        <v>9840</v>
      </c>
      <c r="G43">
        <f>+VLOOKUP(B43,'producto terminado'!B:D,3,)</f>
        <v>0</v>
      </c>
      <c r="H43">
        <f t="shared" si="1"/>
        <v>6</v>
      </c>
      <c r="I43" s="4">
        <f t="shared" si="2"/>
        <v>9840</v>
      </c>
    </row>
    <row r="44" spans="1:9" x14ac:dyDescent="0.35">
      <c r="A44" t="s">
        <v>202</v>
      </c>
      <c r="B44" t="s">
        <v>210</v>
      </c>
      <c r="C44" t="s">
        <v>228</v>
      </c>
      <c r="D44">
        <v>1</v>
      </c>
      <c r="E44" s="1">
        <v>1470</v>
      </c>
      <c r="F44" s="1">
        <f t="shared" si="3"/>
        <v>1470</v>
      </c>
      <c r="G44">
        <f>+VLOOKUP(B44,'producto terminado'!B:D,3,)</f>
        <v>0</v>
      </c>
      <c r="H44">
        <f t="shared" si="1"/>
        <v>1</v>
      </c>
      <c r="I44" s="4">
        <f t="shared" si="2"/>
        <v>1470</v>
      </c>
    </row>
    <row r="45" spans="1:9" x14ac:dyDescent="0.35">
      <c r="A45" t="s">
        <v>202</v>
      </c>
      <c r="B45" t="s">
        <v>225</v>
      </c>
      <c r="C45" t="s">
        <v>228</v>
      </c>
      <c r="D45">
        <v>1</v>
      </c>
      <c r="E45" s="1">
        <v>1190</v>
      </c>
      <c r="F45" s="1">
        <f t="shared" si="3"/>
        <v>1190</v>
      </c>
      <c r="G45">
        <f>+VLOOKUP(B45,'producto terminado'!B:D,3,)</f>
        <v>0</v>
      </c>
      <c r="H45">
        <f t="shared" si="1"/>
        <v>1</v>
      </c>
      <c r="I45" s="4">
        <f t="shared" si="2"/>
        <v>1190</v>
      </c>
    </row>
    <row r="46" spans="1:9" x14ac:dyDescent="0.35">
      <c r="A46" t="s">
        <v>202</v>
      </c>
      <c r="B46" t="s">
        <v>209</v>
      </c>
      <c r="C46" t="s">
        <v>228</v>
      </c>
      <c r="D46">
        <v>1</v>
      </c>
      <c r="E46" s="1">
        <v>1030</v>
      </c>
      <c r="F46" s="1">
        <f t="shared" si="3"/>
        <v>1030</v>
      </c>
      <c r="G46">
        <f>+VLOOKUP(B46,'producto terminado'!B:D,3,)</f>
        <v>0</v>
      </c>
      <c r="H46">
        <f t="shared" si="1"/>
        <v>1</v>
      </c>
      <c r="I46" s="4">
        <f t="shared" si="2"/>
        <v>1030</v>
      </c>
    </row>
    <row r="47" spans="1:9" x14ac:dyDescent="0.35">
      <c r="A47" t="s">
        <v>202</v>
      </c>
      <c r="B47" t="s">
        <v>227</v>
      </c>
      <c r="C47" t="s">
        <v>228</v>
      </c>
      <c r="D47">
        <v>100</v>
      </c>
      <c r="E47" s="1">
        <v>940</v>
      </c>
      <c r="F47" s="1">
        <f t="shared" si="3"/>
        <v>94000</v>
      </c>
      <c r="G47">
        <f>+VLOOKUP(B47,'producto terminado'!B:D,3,)</f>
        <v>0</v>
      </c>
      <c r="H47">
        <f t="shared" si="1"/>
        <v>100</v>
      </c>
      <c r="I47" s="4">
        <f t="shared" si="2"/>
        <v>94000</v>
      </c>
    </row>
    <row r="48" spans="1:9" x14ac:dyDescent="0.35">
      <c r="A48" t="s">
        <v>202</v>
      </c>
      <c r="B48" t="s">
        <v>204</v>
      </c>
      <c r="C48" t="s">
        <v>228</v>
      </c>
      <c r="D48">
        <v>13</v>
      </c>
      <c r="E48" s="1">
        <v>930</v>
      </c>
      <c r="F48" s="1">
        <f t="shared" si="3"/>
        <v>12090</v>
      </c>
      <c r="G48">
        <f>+VLOOKUP(B48,'producto terminado'!B:D,3,)</f>
        <v>0</v>
      </c>
      <c r="H48">
        <f t="shared" si="1"/>
        <v>13</v>
      </c>
      <c r="I48" s="4">
        <f t="shared" si="2"/>
        <v>12090</v>
      </c>
    </row>
    <row r="49" spans="1:9" x14ac:dyDescent="0.35">
      <c r="A49" t="s">
        <v>202</v>
      </c>
      <c r="B49" t="s">
        <v>226</v>
      </c>
      <c r="C49" t="s">
        <v>228</v>
      </c>
      <c r="D49">
        <v>100</v>
      </c>
      <c r="E49" s="1">
        <v>766</v>
      </c>
      <c r="F49" s="1">
        <f t="shared" si="3"/>
        <v>76600</v>
      </c>
      <c r="G49">
        <f>+VLOOKUP(B49,'producto terminado'!B:D,3,)</f>
        <v>0</v>
      </c>
      <c r="H49">
        <f t="shared" si="1"/>
        <v>100</v>
      </c>
      <c r="I49" s="4">
        <f t="shared" si="2"/>
        <v>76600</v>
      </c>
    </row>
    <row r="50" spans="1:9" x14ac:dyDescent="0.35">
      <c r="A50" t="s">
        <v>202</v>
      </c>
      <c r="B50" t="s">
        <v>206</v>
      </c>
      <c r="C50" t="s">
        <v>228</v>
      </c>
      <c r="D50">
        <v>148</v>
      </c>
      <c r="E50" s="1">
        <v>230</v>
      </c>
      <c r="F50" s="1">
        <f t="shared" si="3"/>
        <v>34040</v>
      </c>
      <c r="G50">
        <f>+VLOOKUP(B50,'producto terminado'!B:D,3,)</f>
        <v>0</v>
      </c>
      <c r="H50">
        <f t="shared" si="1"/>
        <v>148</v>
      </c>
      <c r="I50" s="4">
        <f t="shared" si="2"/>
        <v>34040</v>
      </c>
    </row>
    <row r="51" spans="1:9" x14ac:dyDescent="0.35">
      <c r="A51" t="s">
        <v>202</v>
      </c>
      <c r="B51" t="s">
        <v>224</v>
      </c>
      <c r="C51" t="s">
        <v>228</v>
      </c>
      <c r="D51">
        <v>5</v>
      </c>
      <c r="E51" s="1">
        <v>230</v>
      </c>
      <c r="F51" s="1">
        <f t="shared" si="3"/>
        <v>1150</v>
      </c>
      <c r="G51">
        <f>+VLOOKUP(B51,'producto terminado'!B:D,3,)</f>
        <v>0</v>
      </c>
      <c r="H51">
        <f t="shared" si="1"/>
        <v>5</v>
      </c>
      <c r="I51" s="4">
        <f t="shared" si="2"/>
        <v>1150</v>
      </c>
    </row>
    <row r="52" spans="1:9" x14ac:dyDescent="0.35">
      <c r="A52" t="s">
        <v>202</v>
      </c>
      <c r="B52" t="s">
        <v>205</v>
      </c>
      <c r="C52" t="s">
        <v>228</v>
      </c>
      <c r="D52">
        <v>20</v>
      </c>
      <c r="E52" s="1">
        <v>170</v>
      </c>
      <c r="F52" s="1">
        <f t="shared" si="3"/>
        <v>3400</v>
      </c>
      <c r="G52">
        <f>+VLOOKUP(B52,'producto terminado'!B:D,3,)</f>
        <v>0</v>
      </c>
      <c r="H52">
        <f t="shared" si="1"/>
        <v>20</v>
      </c>
      <c r="I52" s="4">
        <f t="shared" si="2"/>
        <v>3400</v>
      </c>
    </row>
    <row r="53" spans="1:9" x14ac:dyDescent="0.35">
      <c r="A53" t="s">
        <v>202</v>
      </c>
      <c r="B53" t="s">
        <v>203</v>
      </c>
      <c r="C53" t="s">
        <v>228</v>
      </c>
      <c r="D53">
        <v>14</v>
      </c>
      <c r="E53" s="1">
        <v>2490</v>
      </c>
      <c r="F53" s="1">
        <f t="shared" si="3"/>
        <v>34860</v>
      </c>
      <c r="G53">
        <f>+VLOOKUP(B53,'producto terminado'!B:D,3,)</f>
        <v>0</v>
      </c>
      <c r="H53">
        <f t="shared" si="1"/>
        <v>14</v>
      </c>
      <c r="I53" s="4">
        <f t="shared" si="2"/>
        <v>34860</v>
      </c>
    </row>
    <row r="54" spans="1:9" x14ac:dyDescent="0.35">
      <c r="A54" t="s">
        <v>202</v>
      </c>
      <c r="B54" t="s">
        <v>207</v>
      </c>
      <c r="C54" t="s">
        <v>228</v>
      </c>
      <c r="D54">
        <v>9</v>
      </c>
      <c r="E54" s="1">
        <v>4909</v>
      </c>
      <c r="F54" s="1">
        <f t="shared" si="3"/>
        <v>44181</v>
      </c>
      <c r="G54">
        <f>+VLOOKUP(B54,'producto terminado'!B:D,3,)</f>
        <v>0</v>
      </c>
      <c r="H54">
        <f t="shared" si="1"/>
        <v>9</v>
      </c>
      <c r="I54" s="4">
        <f t="shared" si="2"/>
        <v>44181</v>
      </c>
    </row>
    <row r="55" spans="1:9" x14ac:dyDescent="0.35">
      <c r="A55" t="s">
        <v>202</v>
      </c>
      <c r="B55" t="s">
        <v>211</v>
      </c>
      <c r="C55" t="s">
        <v>228</v>
      </c>
      <c r="D55">
        <v>1</v>
      </c>
      <c r="F55" s="1">
        <f t="shared" si="3"/>
        <v>0</v>
      </c>
      <c r="G55">
        <f>+VLOOKUP(B55,'producto terminado'!B:D,3,)</f>
        <v>0</v>
      </c>
      <c r="H55">
        <f t="shared" si="1"/>
        <v>1</v>
      </c>
      <c r="I55" s="4">
        <f t="shared" si="2"/>
        <v>0</v>
      </c>
    </row>
    <row r="56" spans="1:9" x14ac:dyDescent="0.35">
      <c r="A56" t="s">
        <v>202</v>
      </c>
      <c r="B56" t="s">
        <v>214</v>
      </c>
      <c r="C56" t="s">
        <v>228</v>
      </c>
      <c r="D56">
        <v>4</v>
      </c>
      <c r="F56" s="1">
        <f t="shared" si="3"/>
        <v>0</v>
      </c>
      <c r="G56">
        <f>+VLOOKUP(B56,'producto terminado'!B:D,3,)</f>
        <v>0</v>
      </c>
      <c r="H56">
        <f t="shared" si="1"/>
        <v>4</v>
      </c>
      <c r="I56" s="4">
        <f t="shared" si="2"/>
        <v>0</v>
      </c>
    </row>
    <row r="57" spans="1:9" x14ac:dyDescent="0.35">
      <c r="A57" t="s">
        <v>202</v>
      </c>
      <c r="B57" t="s">
        <v>215</v>
      </c>
      <c r="C57" t="s">
        <v>228</v>
      </c>
      <c r="D57">
        <v>2</v>
      </c>
      <c r="F57" s="1">
        <f t="shared" si="3"/>
        <v>0</v>
      </c>
      <c r="G57">
        <f>+VLOOKUP(B57,'producto terminado'!B:D,3,)</f>
        <v>0</v>
      </c>
      <c r="H57">
        <f t="shared" si="1"/>
        <v>2</v>
      </c>
      <c r="I57" s="4">
        <f t="shared" si="2"/>
        <v>0</v>
      </c>
    </row>
    <row r="58" spans="1:9" x14ac:dyDescent="0.35">
      <c r="A58" t="s">
        <v>202</v>
      </c>
      <c r="B58" t="s">
        <v>216</v>
      </c>
      <c r="C58" t="s">
        <v>228</v>
      </c>
      <c r="D58">
        <v>4</v>
      </c>
      <c r="F58" s="1">
        <f t="shared" si="3"/>
        <v>0</v>
      </c>
      <c r="G58">
        <f>+VLOOKUP(B58,'producto terminado'!B:D,3,)</f>
        <v>0</v>
      </c>
      <c r="H58">
        <f t="shared" si="1"/>
        <v>4</v>
      </c>
      <c r="I58" s="4">
        <f t="shared" si="2"/>
        <v>0</v>
      </c>
    </row>
    <row r="59" spans="1:9" x14ac:dyDescent="0.35">
      <c r="A59" t="s">
        <v>202</v>
      </c>
      <c r="B59" t="s">
        <v>217</v>
      </c>
      <c r="C59" t="s">
        <v>228</v>
      </c>
      <c r="D59">
        <v>1</v>
      </c>
      <c r="F59" s="1">
        <f t="shared" si="3"/>
        <v>0</v>
      </c>
      <c r="G59">
        <f>+VLOOKUP(B59,'producto terminado'!B:D,3,)</f>
        <v>0</v>
      </c>
      <c r="H59">
        <f t="shared" si="1"/>
        <v>1</v>
      </c>
      <c r="I59" s="4">
        <f t="shared" si="2"/>
        <v>0</v>
      </c>
    </row>
    <row r="60" spans="1:9" x14ac:dyDescent="0.35">
      <c r="A60" t="s">
        <v>202</v>
      </c>
      <c r="B60" t="s">
        <v>218</v>
      </c>
      <c r="C60" t="s">
        <v>228</v>
      </c>
      <c r="D60">
        <v>28</v>
      </c>
      <c r="F60" s="1">
        <f t="shared" si="3"/>
        <v>0</v>
      </c>
      <c r="G60">
        <f>+VLOOKUP(B60,'producto terminado'!B:D,3,)</f>
        <v>0</v>
      </c>
      <c r="H60">
        <f t="shared" si="1"/>
        <v>28</v>
      </c>
      <c r="I60" s="4">
        <f t="shared" si="2"/>
        <v>0</v>
      </c>
    </row>
    <row r="61" spans="1:9" x14ac:dyDescent="0.35">
      <c r="A61" t="s">
        <v>202</v>
      </c>
      <c r="B61" t="s">
        <v>219</v>
      </c>
      <c r="C61" t="s">
        <v>228</v>
      </c>
      <c r="D61">
        <v>11</v>
      </c>
      <c r="F61" s="1">
        <f t="shared" si="3"/>
        <v>0</v>
      </c>
      <c r="G61">
        <f>+VLOOKUP(B61,'producto terminado'!B:D,3,)</f>
        <v>0</v>
      </c>
      <c r="H61">
        <f t="shared" si="1"/>
        <v>11</v>
      </c>
      <c r="I61" s="4">
        <f t="shared" si="2"/>
        <v>0</v>
      </c>
    </row>
    <row r="62" spans="1:9" x14ac:dyDescent="0.35">
      <c r="A62" t="s">
        <v>202</v>
      </c>
      <c r="B62" t="s">
        <v>220</v>
      </c>
      <c r="C62" t="s">
        <v>228</v>
      </c>
      <c r="D62">
        <v>1</v>
      </c>
      <c r="F62" s="1">
        <f t="shared" si="3"/>
        <v>0</v>
      </c>
      <c r="G62">
        <f>+VLOOKUP(B62,'producto terminado'!B:D,3,)</f>
        <v>0</v>
      </c>
      <c r="H62">
        <f t="shared" si="1"/>
        <v>1</v>
      </c>
      <c r="I62" s="4">
        <f t="shared" si="2"/>
        <v>0</v>
      </c>
    </row>
    <row r="63" spans="1:9" x14ac:dyDescent="0.35">
      <c r="A63" t="s">
        <v>202</v>
      </c>
      <c r="B63" t="s">
        <v>223</v>
      </c>
      <c r="C63" t="s">
        <v>228</v>
      </c>
      <c r="D63">
        <v>1</v>
      </c>
      <c r="F63" s="1">
        <f t="shared" si="3"/>
        <v>0</v>
      </c>
      <c r="G63">
        <f>+VLOOKUP(B63,'producto terminado'!B:D,3,)</f>
        <v>0</v>
      </c>
      <c r="H63">
        <f t="shared" si="1"/>
        <v>1</v>
      </c>
      <c r="I63" s="4">
        <f t="shared" si="2"/>
        <v>0</v>
      </c>
    </row>
    <row r="64" spans="1:9" x14ac:dyDescent="0.35">
      <c r="A64" t="s">
        <v>19</v>
      </c>
      <c r="B64" t="s">
        <v>57</v>
      </c>
      <c r="C64" t="s">
        <v>4</v>
      </c>
      <c r="D64">
        <v>2</v>
      </c>
      <c r="E64" s="1">
        <f>550*150</f>
        <v>82500</v>
      </c>
      <c r="F64" s="1">
        <f t="shared" si="3"/>
        <v>165000</v>
      </c>
      <c r="G64">
        <f>+VLOOKUP(B64,'producto terminado'!B:D,3,)</f>
        <v>1</v>
      </c>
      <c r="H64">
        <f t="shared" si="1"/>
        <v>3</v>
      </c>
      <c r="I64" s="4">
        <f t="shared" si="2"/>
        <v>247500</v>
      </c>
    </row>
    <row r="65" spans="1:9" x14ac:dyDescent="0.35">
      <c r="A65" t="s">
        <v>19</v>
      </c>
      <c r="B65" t="s">
        <v>91</v>
      </c>
      <c r="C65" t="s">
        <v>4</v>
      </c>
      <c r="D65">
        <v>8</v>
      </c>
      <c r="E65" s="1">
        <v>23850</v>
      </c>
      <c r="F65" s="1">
        <f t="shared" si="3"/>
        <v>190800</v>
      </c>
      <c r="G65">
        <f>+VLOOKUP(B65,'producto terminado'!B:D,3,)</f>
        <v>0</v>
      </c>
      <c r="H65">
        <f t="shared" si="1"/>
        <v>8</v>
      </c>
      <c r="I65" s="4">
        <f t="shared" si="2"/>
        <v>190800</v>
      </c>
    </row>
    <row r="66" spans="1:9" x14ac:dyDescent="0.35">
      <c r="A66" t="s">
        <v>19</v>
      </c>
      <c r="B66" t="s">
        <v>98</v>
      </c>
      <c r="C66" t="s">
        <v>7</v>
      </c>
      <c r="D66">
        <v>8</v>
      </c>
      <c r="E66" s="1">
        <v>21080</v>
      </c>
      <c r="F66" s="1">
        <f t="shared" ref="F66:F79" si="4">+E66*D66</f>
        <v>168640</v>
      </c>
      <c r="G66">
        <f>+VLOOKUP(B66,'producto terminado'!B:D,3,)</f>
        <v>0</v>
      </c>
      <c r="H66">
        <f t="shared" si="1"/>
        <v>8</v>
      </c>
      <c r="I66" s="4">
        <f t="shared" si="2"/>
        <v>168640</v>
      </c>
    </row>
    <row r="67" spans="1:9" x14ac:dyDescent="0.35">
      <c r="A67" t="s">
        <v>19</v>
      </c>
      <c r="B67" t="s">
        <v>90</v>
      </c>
      <c r="C67" t="s">
        <v>7</v>
      </c>
      <c r="D67">
        <v>12</v>
      </c>
      <c r="E67" s="1">
        <v>16845</v>
      </c>
      <c r="F67" s="1">
        <f t="shared" si="4"/>
        <v>202140</v>
      </c>
      <c r="G67">
        <f>+VLOOKUP(B67,'producto terminado'!B:D,3,)</f>
        <v>0</v>
      </c>
      <c r="H67">
        <f t="shared" ref="H67:H130" si="5">+G67+D67</f>
        <v>12</v>
      </c>
      <c r="I67" s="4">
        <f t="shared" ref="I67:I130" si="6">+H67*E67</f>
        <v>202140</v>
      </c>
    </row>
    <row r="68" spans="1:9" x14ac:dyDescent="0.35">
      <c r="A68" t="s">
        <v>19</v>
      </c>
      <c r="B68" t="s">
        <v>58</v>
      </c>
      <c r="C68" t="s">
        <v>4</v>
      </c>
      <c r="D68">
        <v>1</v>
      </c>
      <c r="E68" s="1">
        <v>12171</v>
      </c>
      <c r="F68" s="1">
        <f t="shared" si="4"/>
        <v>12171</v>
      </c>
      <c r="G68">
        <f>+VLOOKUP(B68,'producto terminado'!B:D,3,)</f>
        <v>0</v>
      </c>
      <c r="H68">
        <f t="shared" si="5"/>
        <v>1</v>
      </c>
      <c r="I68" s="4">
        <f t="shared" si="6"/>
        <v>12171</v>
      </c>
    </row>
    <row r="69" spans="1:9" x14ac:dyDescent="0.35">
      <c r="A69" t="s">
        <v>19</v>
      </c>
      <c r="B69" t="s">
        <v>37</v>
      </c>
      <c r="C69" t="s">
        <v>4</v>
      </c>
      <c r="D69">
        <v>1</v>
      </c>
      <c r="E69" s="1">
        <v>4500</v>
      </c>
      <c r="F69" s="1">
        <f t="shared" si="4"/>
        <v>4500</v>
      </c>
      <c r="G69">
        <f>+VLOOKUP(B69,'producto terminado'!B:D,3,)</f>
        <v>0</v>
      </c>
      <c r="H69">
        <f t="shared" si="5"/>
        <v>1</v>
      </c>
      <c r="I69" s="4">
        <f t="shared" si="6"/>
        <v>4500</v>
      </c>
    </row>
    <row r="70" spans="1:9" x14ac:dyDescent="0.35">
      <c r="A70" t="s">
        <v>19</v>
      </c>
      <c r="B70" t="s">
        <v>38</v>
      </c>
      <c r="C70" t="s">
        <v>4</v>
      </c>
      <c r="D70">
        <v>2</v>
      </c>
      <c r="E70" s="1">
        <v>2334</v>
      </c>
      <c r="F70" s="1">
        <f t="shared" si="4"/>
        <v>4668</v>
      </c>
      <c r="G70">
        <f>+VLOOKUP(B70,'producto terminado'!B:D,3,)</f>
        <v>0</v>
      </c>
      <c r="H70">
        <f t="shared" si="5"/>
        <v>2</v>
      </c>
      <c r="I70" s="4">
        <f t="shared" si="6"/>
        <v>4668</v>
      </c>
    </row>
    <row r="71" spans="1:9" x14ac:dyDescent="0.35">
      <c r="A71" t="s">
        <v>19</v>
      </c>
      <c r="B71" t="s">
        <v>84</v>
      </c>
      <c r="C71" t="s">
        <v>4</v>
      </c>
      <c r="D71">
        <v>5</v>
      </c>
      <c r="E71" s="1">
        <v>1860</v>
      </c>
      <c r="F71" s="1">
        <f t="shared" si="4"/>
        <v>9300</v>
      </c>
      <c r="G71">
        <f>+VLOOKUP(B71,'producto terminado'!B:D,3,)</f>
        <v>0</v>
      </c>
      <c r="H71">
        <f t="shared" si="5"/>
        <v>5</v>
      </c>
      <c r="I71" s="4">
        <f t="shared" si="6"/>
        <v>9300</v>
      </c>
    </row>
    <row r="72" spans="1:9" x14ac:dyDescent="0.35">
      <c r="A72" t="s">
        <v>19</v>
      </c>
      <c r="B72" t="s">
        <v>100</v>
      </c>
      <c r="C72" t="s">
        <v>4</v>
      </c>
      <c r="D72">
        <v>6</v>
      </c>
      <c r="E72" s="1">
        <v>1154</v>
      </c>
      <c r="F72" s="1">
        <f t="shared" si="4"/>
        <v>6924</v>
      </c>
      <c r="G72">
        <f>+VLOOKUP(B72,'producto terminado'!B:D,3,)</f>
        <v>2.5</v>
      </c>
      <c r="H72">
        <f t="shared" si="5"/>
        <v>8.5</v>
      </c>
      <c r="I72" s="4">
        <f t="shared" si="6"/>
        <v>9809</v>
      </c>
    </row>
    <row r="73" spans="1:9" x14ac:dyDescent="0.35">
      <c r="A73" t="s">
        <v>19</v>
      </c>
      <c r="B73" t="s">
        <v>106</v>
      </c>
      <c r="C73" t="s">
        <v>4</v>
      </c>
      <c r="D73">
        <v>20</v>
      </c>
      <c r="E73" s="1">
        <v>325</v>
      </c>
      <c r="F73" s="1">
        <f t="shared" si="4"/>
        <v>6500</v>
      </c>
      <c r="G73">
        <f>+VLOOKUP(B73,'producto terminado'!B:D,3,)</f>
        <v>19</v>
      </c>
      <c r="H73">
        <f t="shared" si="5"/>
        <v>39</v>
      </c>
      <c r="I73" s="4">
        <f t="shared" si="6"/>
        <v>12675</v>
      </c>
    </row>
    <row r="74" spans="1:9" x14ac:dyDescent="0.35">
      <c r="A74" t="s">
        <v>19</v>
      </c>
      <c r="B74" t="s">
        <v>107</v>
      </c>
      <c r="C74" t="s">
        <v>4</v>
      </c>
      <c r="D74">
        <v>40</v>
      </c>
      <c r="E74" s="1">
        <v>325</v>
      </c>
      <c r="F74" s="1">
        <f t="shared" si="4"/>
        <v>13000</v>
      </c>
      <c r="G74">
        <f>+VLOOKUP(B74,'producto terminado'!B:D,3,)</f>
        <v>2</v>
      </c>
      <c r="H74">
        <f t="shared" si="5"/>
        <v>42</v>
      </c>
      <c r="I74" s="4">
        <f t="shared" si="6"/>
        <v>13650</v>
      </c>
    </row>
    <row r="75" spans="1:9" x14ac:dyDescent="0.35">
      <c r="A75" t="s">
        <v>19</v>
      </c>
      <c r="B75" t="s">
        <v>108</v>
      </c>
      <c r="C75" t="s">
        <v>4</v>
      </c>
      <c r="D75">
        <v>20</v>
      </c>
      <c r="E75" s="1">
        <v>325</v>
      </c>
      <c r="F75" s="1">
        <f t="shared" si="4"/>
        <v>6500</v>
      </c>
      <c r="G75">
        <f>+VLOOKUP(B75,'producto terminado'!B:D,3,)</f>
        <v>0</v>
      </c>
      <c r="H75">
        <f t="shared" si="5"/>
        <v>20</v>
      </c>
      <c r="I75" s="4">
        <f t="shared" si="6"/>
        <v>6500</v>
      </c>
    </row>
    <row r="76" spans="1:9" x14ac:dyDescent="0.35">
      <c r="A76" t="s">
        <v>19</v>
      </c>
      <c r="B76" t="s">
        <v>105</v>
      </c>
      <c r="C76" t="s">
        <v>4</v>
      </c>
      <c r="D76">
        <v>40</v>
      </c>
      <c r="E76" s="1">
        <v>325</v>
      </c>
      <c r="F76" s="1">
        <f t="shared" si="4"/>
        <v>13000</v>
      </c>
      <c r="G76">
        <f>+VLOOKUP(B76,'producto terminado'!B:D,3,)</f>
        <v>43</v>
      </c>
      <c r="H76">
        <f t="shared" si="5"/>
        <v>83</v>
      </c>
      <c r="I76" s="4">
        <f t="shared" si="6"/>
        <v>26975</v>
      </c>
    </row>
    <row r="77" spans="1:9" x14ac:dyDescent="0.35">
      <c r="A77" t="s">
        <v>19</v>
      </c>
      <c r="B77" t="s">
        <v>109</v>
      </c>
      <c r="C77" t="s">
        <v>4</v>
      </c>
      <c r="D77">
        <v>40</v>
      </c>
      <c r="E77" s="1">
        <v>325</v>
      </c>
      <c r="F77" s="1">
        <f t="shared" si="4"/>
        <v>13000</v>
      </c>
      <c r="G77">
        <f>+VLOOKUP(B77,'producto terminado'!B:D,3,)</f>
        <v>0</v>
      </c>
      <c r="H77">
        <f t="shared" si="5"/>
        <v>40</v>
      </c>
      <c r="I77" s="4">
        <f t="shared" si="6"/>
        <v>13000</v>
      </c>
    </row>
    <row r="78" spans="1:9" x14ac:dyDescent="0.35">
      <c r="A78" t="s">
        <v>19</v>
      </c>
      <c r="B78" t="s">
        <v>232</v>
      </c>
      <c r="C78" t="s">
        <v>4</v>
      </c>
      <c r="D78">
        <v>192</v>
      </c>
      <c r="E78" s="1">
        <v>281</v>
      </c>
      <c r="F78" s="1">
        <f t="shared" si="4"/>
        <v>53952</v>
      </c>
      <c r="G78">
        <f>+VLOOKUP(B78,'producto terminado'!B:D,3,)</f>
        <v>0</v>
      </c>
      <c r="H78">
        <f t="shared" si="5"/>
        <v>192</v>
      </c>
      <c r="I78" s="4">
        <f t="shared" si="6"/>
        <v>53952</v>
      </c>
    </row>
    <row r="79" spans="1:9" x14ac:dyDescent="0.35">
      <c r="A79" t="s">
        <v>19</v>
      </c>
      <c r="B79" t="s">
        <v>233</v>
      </c>
      <c r="C79" t="s">
        <v>4</v>
      </c>
      <c r="D79">
        <v>0</v>
      </c>
      <c r="F79" s="1">
        <f t="shared" si="4"/>
        <v>0</v>
      </c>
      <c r="G79">
        <f>+VLOOKUP(B79,'producto terminado'!B:D,3,)</f>
        <v>0</v>
      </c>
      <c r="H79">
        <f t="shared" si="5"/>
        <v>0</v>
      </c>
      <c r="I79" s="4">
        <f t="shared" si="6"/>
        <v>0</v>
      </c>
    </row>
    <row r="80" spans="1:9" x14ac:dyDescent="0.35">
      <c r="A80" t="s">
        <v>19</v>
      </c>
      <c r="B80" t="s">
        <v>20</v>
      </c>
      <c r="C80" t="s">
        <v>7</v>
      </c>
      <c r="D80">
        <v>0.7</v>
      </c>
      <c r="F80" s="1">
        <f t="shared" ref="F80:F112" si="7">+E80*D80</f>
        <v>0</v>
      </c>
      <c r="G80">
        <f>+VLOOKUP(B80,'producto terminado'!B:D,3,)</f>
        <v>0</v>
      </c>
      <c r="H80">
        <f t="shared" si="5"/>
        <v>0.7</v>
      </c>
      <c r="I80" s="4">
        <f t="shared" si="6"/>
        <v>0</v>
      </c>
    </row>
    <row r="81" spans="1:9" x14ac:dyDescent="0.35">
      <c r="A81" t="s">
        <v>19</v>
      </c>
      <c r="B81" t="s">
        <v>113</v>
      </c>
      <c r="C81" t="s">
        <v>4</v>
      </c>
      <c r="D81">
        <v>2000</v>
      </c>
      <c r="F81" s="1">
        <f t="shared" si="7"/>
        <v>0</v>
      </c>
      <c r="G81">
        <f>+VLOOKUP(B81,'producto terminado'!B:D,3,)</f>
        <v>770</v>
      </c>
      <c r="H81">
        <f t="shared" si="5"/>
        <v>2770</v>
      </c>
      <c r="I81" s="4">
        <f t="shared" si="6"/>
        <v>0</v>
      </c>
    </row>
    <row r="82" spans="1:9" x14ac:dyDescent="0.35">
      <c r="A82" t="s">
        <v>6</v>
      </c>
      <c r="B82" t="s">
        <v>17</v>
      </c>
      <c r="C82" t="s">
        <v>7</v>
      </c>
      <c r="D82">
        <v>0.4</v>
      </c>
      <c r="E82" s="1">
        <v>25000</v>
      </c>
      <c r="F82" s="1">
        <f t="shared" si="7"/>
        <v>10000</v>
      </c>
      <c r="G82">
        <f>+VLOOKUP(B82,'producto terminado'!B:D,3,)</f>
        <v>0</v>
      </c>
      <c r="H82">
        <f t="shared" si="5"/>
        <v>0.4</v>
      </c>
      <c r="I82" s="4">
        <f t="shared" si="6"/>
        <v>10000</v>
      </c>
    </row>
    <row r="83" spans="1:9" x14ac:dyDescent="0.35">
      <c r="A83" t="s">
        <v>6</v>
      </c>
      <c r="B83" t="s">
        <v>76</v>
      </c>
      <c r="C83" t="s">
        <v>4</v>
      </c>
      <c r="D83">
        <v>3</v>
      </c>
      <c r="E83" s="1">
        <v>9875</v>
      </c>
      <c r="F83" s="1">
        <f t="shared" si="7"/>
        <v>29625</v>
      </c>
      <c r="G83">
        <f>+VLOOKUP(B83,'producto terminado'!B:D,3,)</f>
        <v>0</v>
      </c>
      <c r="H83">
        <f t="shared" si="5"/>
        <v>3</v>
      </c>
      <c r="I83" s="4">
        <f t="shared" si="6"/>
        <v>29625</v>
      </c>
    </row>
    <row r="84" spans="1:9" x14ac:dyDescent="0.35">
      <c r="A84" t="s">
        <v>6</v>
      </c>
      <c r="B84" t="s">
        <v>60</v>
      </c>
      <c r="C84" t="s">
        <v>61</v>
      </c>
      <c r="D84">
        <v>10</v>
      </c>
      <c r="E84" s="1">
        <v>9000</v>
      </c>
      <c r="F84" s="1">
        <f t="shared" si="7"/>
        <v>90000</v>
      </c>
      <c r="G84">
        <f>+VLOOKUP(B84,'producto terminado'!B:D,3,)</f>
        <v>0</v>
      </c>
      <c r="H84">
        <f t="shared" si="5"/>
        <v>10</v>
      </c>
      <c r="I84" s="4">
        <f t="shared" si="6"/>
        <v>90000</v>
      </c>
    </row>
    <row r="85" spans="1:9" x14ac:dyDescent="0.35">
      <c r="A85" t="s">
        <v>6</v>
      </c>
      <c r="B85" t="s">
        <v>8</v>
      </c>
      <c r="C85" t="s">
        <v>4</v>
      </c>
      <c r="D85">
        <v>1</v>
      </c>
      <c r="E85" s="1">
        <v>6950</v>
      </c>
      <c r="F85" s="1">
        <f t="shared" si="7"/>
        <v>6950</v>
      </c>
      <c r="G85">
        <f>+VLOOKUP(B85,'producto terminado'!B:D,3,)</f>
        <v>0</v>
      </c>
      <c r="H85">
        <f t="shared" si="5"/>
        <v>1</v>
      </c>
      <c r="I85" s="4">
        <f t="shared" si="6"/>
        <v>6950</v>
      </c>
    </row>
    <row r="86" spans="1:9" x14ac:dyDescent="0.35">
      <c r="A86" t="s">
        <v>6</v>
      </c>
      <c r="B86" t="s">
        <v>18</v>
      </c>
      <c r="C86" t="s">
        <v>7</v>
      </c>
      <c r="D86">
        <v>0</v>
      </c>
      <c r="E86" s="1">
        <v>6800</v>
      </c>
      <c r="F86" s="1">
        <f t="shared" si="7"/>
        <v>0</v>
      </c>
      <c r="G86">
        <f>+VLOOKUP(B86,'producto terminado'!B:D,3,)</f>
        <v>0</v>
      </c>
      <c r="H86">
        <f t="shared" si="5"/>
        <v>0</v>
      </c>
      <c r="I86" s="4">
        <f t="shared" si="6"/>
        <v>0</v>
      </c>
    </row>
    <row r="87" spans="1:9" x14ac:dyDescent="0.35">
      <c r="A87" t="s">
        <v>6</v>
      </c>
      <c r="B87" t="s">
        <v>125</v>
      </c>
      <c r="C87" t="s">
        <v>7</v>
      </c>
      <c r="D87">
        <v>0.35</v>
      </c>
      <c r="E87" s="1">
        <v>4500</v>
      </c>
      <c r="F87" s="1">
        <f t="shared" si="7"/>
        <v>1575</v>
      </c>
      <c r="G87">
        <f>+VLOOKUP(B87,'producto terminado'!B:D,3,)</f>
        <v>0</v>
      </c>
      <c r="H87">
        <f t="shared" si="5"/>
        <v>0.35</v>
      </c>
      <c r="I87" s="4">
        <f t="shared" si="6"/>
        <v>1575</v>
      </c>
    </row>
    <row r="88" spans="1:9" x14ac:dyDescent="0.35">
      <c r="A88" t="s">
        <v>6</v>
      </c>
      <c r="B88" t="s">
        <v>59</v>
      </c>
      <c r="C88" t="s">
        <v>4</v>
      </c>
      <c r="D88">
        <v>2</v>
      </c>
      <c r="E88" s="1">
        <v>2280</v>
      </c>
      <c r="F88" s="1">
        <f t="shared" si="7"/>
        <v>4560</v>
      </c>
      <c r="G88">
        <f>+VLOOKUP(B88,'producto terminado'!B:D,3,)</f>
        <v>0</v>
      </c>
      <c r="H88">
        <f t="shared" si="5"/>
        <v>2</v>
      </c>
      <c r="I88" s="4">
        <f t="shared" si="6"/>
        <v>4560</v>
      </c>
    </row>
    <row r="89" spans="1:9" x14ac:dyDescent="0.35">
      <c r="A89" t="s">
        <v>6</v>
      </c>
      <c r="B89" t="s">
        <v>62</v>
      </c>
      <c r="C89" t="s">
        <v>4</v>
      </c>
      <c r="D89">
        <v>1</v>
      </c>
      <c r="E89" s="1">
        <v>1610</v>
      </c>
      <c r="F89" s="1">
        <f t="shared" si="7"/>
        <v>1610</v>
      </c>
      <c r="G89">
        <f>+VLOOKUP(B89,'producto terminado'!B:D,3,)</f>
        <v>0</v>
      </c>
      <c r="H89">
        <f t="shared" si="5"/>
        <v>1</v>
      </c>
      <c r="I89" s="4">
        <f t="shared" si="6"/>
        <v>1610</v>
      </c>
    </row>
    <row r="90" spans="1:9" x14ac:dyDescent="0.35">
      <c r="A90" t="s">
        <v>6</v>
      </c>
      <c r="B90" t="s">
        <v>93</v>
      </c>
      <c r="C90" t="s">
        <v>4</v>
      </c>
      <c r="D90">
        <v>11</v>
      </c>
      <c r="E90" s="1">
        <v>495</v>
      </c>
      <c r="F90" s="1">
        <f t="shared" si="7"/>
        <v>5445</v>
      </c>
      <c r="G90">
        <f>+VLOOKUP(B90,'producto terminado'!B:D,3,)</f>
        <v>3.5</v>
      </c>
      <c r="H90">
        <f t="shared" si="5"/>
        <v>14.5</v>
      </c>
      <c r="I90" s="4">
        <f t="shared" si="6"/>
        <v>7177.5</v>
      </c>
    </row>
    <row r="91" spans="1:9" x14ac:dyDescent="0.35">
      <c r="A91" t="s">
        <v>6</v>
      </c>
      <c r="B91" t="s">
        <v>149</v>
      </c>
      <c r="C91" t="s">
        <v>4</v>
      </c>
      <c r="D91">
        <v>8</v>
      </c>
      <c r="E91" s="1">
        <v>200</v>
      </c>
      <c r="F91" s="1">
        <f t="shared" si="7"/>
        <v>1600</v>
      </c>
      <c r="G91">
        <f>+VLOOKUP(B91,'producto terminado'!B:D,3,)</f>
        <v>0</v>
      </c>
      <c r="H91">
        <f t="shared" si="5"/>
        <v>8</v>
      </c>
      <c r="I91" s="4">
        <f t="shared" si="6"/>
        <v>1600</v>
      </c>
    </row>
    <row r="92" spans="1:9" x14ac:dyDescent="0.35">
      <c r="A92" t="s">
        <v>6</v>
      </c>
      <c r="B92" t="s">
        <v>12</v>
      </c>
      <c r="C92" t="s">
        <v>7</v>
      </c>
      <c r="D92">
        <v>0</v>
      </c>
      <c r="F92" s="1">
        <f t="shared" si="7"/>
        <v>0</v>
      </c>
      <c r="G92">
        <f>+VLOOKUP(B92,'producto terminado'!B:D,3,)</f>
        <v>0</v>
      </c>
      <c r="H92">
        <f t="shared" si="5"/>
        <v>0</v>
      </c>
      <c r="I92" s="4">
        <f t="shared" si="6"/>
        <v>0</v>
      </c>
    </row>
    <row r="93" spans="1:9" x14ac:dyDescent="0.35">
      <c r="A93" t="s">
        <v>6</v>
      </c>
      <c r="B93" t="s">
        <v>13</v>
      </c>
      <c r="C93" t="s">
        <v>7</v>
      </c>
      <c r="D93">
        <v>1.84</v>
      </c>
      <c r="F93" s="1">
        <f t="shared" si="7"/>
        <v>0</v>
      </c>
      <c r="G93">
        <f>+VLOOKUP(B93,'producto terminado'!B:D,3,)</f>
        <v>0</v>
      </c>
      <c r="H93">
        <f t="shared" si="5"/>
        <v>1.84</v>
      </c>
      <c r="I93" s="4">
        <f t="shared" si="6"/>
        <v>0</v>
      </c>
    </row>
    <row r="94" spans="1:9" x14ac:dyDescent="0.35">
      <c r="A94" t="s">
        <v>6</v>
      </c>
      <c r="B94" t="s">
        <v>14</v>
      </c>
      <c r="C94" t="s">
        <v>7</v>
      </c>
      <c r="D94">
        <v>0.16</v>
      </c>
      <c r="F94" s="1">
        <f t="shared" si="7"/>
        <v>0</v>
      </c>
      <c r="G94">
        <f>+VLOOKUP(B94,'producto terminado'!B:D,3,)</f>
        <v>0</v>
      </c>
      <c r="H94">
        <f t="shared" si="5"/>
        <v>0.16</v>
      </c>
      <c r="I94" s="4">
        <f t="shared" si="6"/>
        <v>0</v>
      </c>
    </row>
    <row r="95" spans="1:9" x14ac:dyDescent="0.35">
      <c r="A95" t="s">
        <v>6</v>
      </c>
      <c r="B95" t="s">
        <v>15</v>
      </c>
      <c r="C95" t="s">
        <v>7</v>
      </c>
      <c r="D95">
        <v>0</v>
      </c>
      <c r="F95" s="1">
        <f t="shared" si="7"/>
        <v>0</v>
      </c>
      <c r="G95">
        <f>+VLOOKUP(B95,'producto terminado'!B:D,3,)</f>
        <v>0</v>
      </c>
      <c r="H95">
        <f t="shared" si="5"/>
        <v>0</v>
      </c>
      <c r="I95" s="4">
        <f t="shared" si="6"/>
        <v>0</v>
      </c>
    </row>
    <row r="96" spans="1:9" x14ac:dyDescent="0.35">
      <c r="A96" t="s">
        <v>6</v>
      </c>
      <c r="B96" t="s">
        <v>21</v>
      </c>
      <c r="C96" t="s">
        <v>7</v>
      </c>
      <c r="D96">
        <v>1.1000000000000001</v>
      </c>
      <c r="F96" s="1">
        <f t="shared" si="7"/>
        <v>0</v>
      </c>
      <c r="G96">
        <f>+VLOOKUP(B96,'producto terminado'!B:D,3,)</f>
        <v>0</v>
      </c>
      <c r="H96">
        <f t="shared" si="5"/>
        <v>1.1000000000000001</v>
      </c>
      <c r="I96" s="4">
        <f t="shared" si="6"/>
        <v>0</v>
      </c>
    </row>
    <row r="97" spans="1:9" x14ac:dyDescent="0.35">
      <c r="A97" t="s">
        <v>6</v>
      </c>
      <c r="B97" t="s">
        <v>39</v>
      </c>
      <c r="C97" t="s">
        <v>7</v>
      </c>
      <c r="D97">
        <v>0.3</v>
      </c>
      <c r="F97" s="1">
        <f t="shared" si="7"/>
        <v>0</v>
      </c>
      <c r="G97">
        <f>+VLOOKUP(B97,'producto terminado'!B:D,3,)</f>
        <v>0</v>
      </c>
      <c r="H97">
        <f t="shared" si="5"/>
        <v>0.3</v>
      </c>
      <c r="I97" s="4">
        <f t="shared" si="6"/>
        <v>0</v>
      </c>
    </row>
    <row r="98" spans="1:9" x14ac:dyDescent="0.35">
      <c r="A98" t="s">
        <v>6</v>
      </c>
      <c r="B98" t="s">
        <v>40</v>
      </c>
      <c r="C98" t="s">
        <v>7</v>
      </c>
      <c r="D98">
        <v>1</v>
      </c>
      <c r="F98" s="1">
        <f t="shared" si="7"/>
        <v>0</v>
      </c>
      <c r="G98">
        <f>+VLOOKUP(B98,'producto terminado'!B:D,3,)</f>
        <v>0</v>
      </c>
      <c r="H98">
        <f t="shared" si="5"/>
        <v>1</v>
      </c>
      <c r="I98" s="4">
        <f t="shared" si="6"/>
        <v>0</v>
      </c>
    </row>
    <row r="99" spans="1:9" x14ac:dyDescent="0.35">
      <c r="A99" t="s">
        <v>6</v>
      </c>
      <c r="B99" t="s">
        <v>41</v>
      </c>
      <c r="C99" t="s">
        <v>7</v>
      </c>
      <c r="D99">
        <v>1</v>
      </c>
      <c r="F99" s="1">
        <f t="shared" si="7"/>
        <v>0</v>
      </c>
      <c r="G99">
        <f>+VLOOKUP(B99,'producto terminado'!B:D,3,)</f>
        <v>0</v>
      </c>
      <c r="H99">
        <f t="shared" si="5"/>
        <v>1</v>
      </c>
      <c r="I99" s="4">
        <f t="shared" si="6"/>
        <v>0</v>
      </c>
    </row>
    <row r="100" spans="1:9" x14ac:dyDescent="0.35">
      <c r="A100" t="s">
        <v>6</v>
      </c>
      <c r="B100" t="s">
        <v>42</v>
      </c>
      <c r="C100" t="s">
        <v>4</v>
      </c>
      <c r="D100">
        <v>1.2</v>
      </c>
      <c r="F100" s="1">
        <f t="shared" si="7"/>
        <v>0</v>
      </c>
      <c r="G100">
        <f>+VLOOKUP(B100,'producto terminado'!B:D,3,)</f>
        <v>0</v>
      </c>
      <c r="H100">
        <f t="shared" si="5"/>
        <v>1.2</v>
      </c>
      <c r="I100" s="4">
        <f t="shared" si="6"/>
        <v>0</v>
      </c>
    </row>
    <row r="101" spans="1:9" x14ac:dyDescent="0.35">
      <c r="A101" t="s">
        <v>6</v>
      </c>
      <c r="B101" t="s">
        <v>69</v>
      </c>
      <c r="C101" t="s">
        <v>7</v>
      </c>
      <c r="D101">
        <v>2</v>
      </c>
      <c r="F101" s="1">
        <f t="shared" si="7"/>
        <v>0</v>
      </c>
      <c r="G101">
        <f>+VLOOKUP(B101,'producto terminado'!B:D,3,)</f>
        <v>0</v>
      </c>
      <c r="H101">
        <f t="shared" si="5"/>
        <v>2</v>
      </c>
      <c r="I101" s="4">
        <f t="shared" si="6"/>
        <v>0</v>
      </c>
    </row>
    <row r="102" spans="1:9" x14ac:dyDescent="0.35">
      <c r="A102" t="s">
        <v>82</v>
      </c>
      <c r="B102" t="s">
        <v>157</v>
      </c>
      <c r="C102" t="s">
        <v>7</v>
      </c>
      <c r="D102">
        <v>5</v>
      </c>
      <c r="E102" s="1">
        <v>6500</v>
      </c>
      <c r="F102" s="1">
        <f t="shared" si="7"/>
        <v>32500</v>
      </c>
      <c r="G102">
        <f>+VLOOKUP(B102,'producto terminado'!B:D,3,)</f>
        <v>6</v>
      </c>
      <c r="H102">
        <f t="shared" si="5"/>
        <v>11</v>
      </c>
      <c r="I102" s="4">
        <f t="shared" si="6"/>
        <v>71500</v>
      </c>
    </row>
    <row r="103" spans="1:9" x14ac:dyDescent="0.35">
      <c r="A103" t="s">
        <v>82</v>
      </c>
      <c r="B103" t="s">
        <v>158</v>
      </c>
      <c r="C103" t="s">
        <v>7</v>
      </c>
      <c r="D103">
        <v>7</v>
      </c>
      <c r="E103" s="1">
        <v>5800</v>
      </c>
      <c r="F103" s="1">
        <f t="shared" si="7"/>
        <v>40600</v>
      </c>
      <c r="G103">
        <f>+VLOOKUP(B103,'producto terminado'!B:D,3,)</f>
        <v>4</v>
      </c>
      <c r="H103">
        <f t="shared" si="5"/>
        <v>11</v>
      </c>
      <c r="I103" s="4">
        <f t="shared" si="6"/>
        <v>63800</v>
      </c>
    </row>
    <row r="104" spans="1:9" x14ac:dyDescent="0.35">
      <c r="A104" t="s">
        <v>82</v>
      </c>
      <c r="B104" t="s">
        <v>160</v>
      </c>
      <c r="C104" t="s">
        <v>7</v>
      </c>
      <c r="D104">
        <v>7</v>
      </c>
      <c r="E104" s="1">
        <v>4800</v>
      </c>
      <c r="F104" s="1">
        <f t="shared" si="7"/>
        <v>33600</v>
      </c>
      <c r="G104">
        <f>+VLOOKUP(B104,'producto terminado'!B:D,3,)</f>
        <v>6</v>
      </c>
      <c r="H104">
        <f t="shared" si="5"/>
        <v>13</v>
      </c>
      <c r="I104" s="4">
        <f t="shared" si="6"/>
        <v>62400</v>
      </c>
    </row>
    <row r="105" spans="1:9" x14ac:dyDescent="0.35">
      <c r="A105" t="s">
        <v>82</v>
      </c>
      <c r="B105" t="s">
        <v>83</v>
      </c>
      <c r="C105" t="s">
        <v>4</v>
      </c>
      <c r="D105">
        <v>2</v>
      </c>
      <c r="E105" s="1">
        <v>4060</v>
      </c>
      <c r="F105" s="1">
        <f t="shared" si="7"/>
        <v>8120</v>
      </c>
      <c r="G105">
        <f>+VLOOKUP(B105,'producto terminado'!B:D,3,)</f>
        <v>0</v>
      </c>
      <c r="H105">
        <f t="shared" si="5"/>
        <v>2</v>
      </c>
      <c r="I105" s="4">
        <f t="shared" si="6"/>
        <v>8120</v>
      </c>
    </row>
    <row r="106" spans="1:9" x14ac:dyDescent="0.35">
      <c r="A106" t="s">
        <v>82</v>
      </c>
      <c r="B106" t="s">
        <v>164</v>
      </c>
      <c r="C106" t="s">
        <v>7</v>
      </c>
      <c r="D106">
        <v>10</v>
      </c>
      <c r="E106" s="1">
        <v>3900</v>
      </c>
      <c r="F106" s="1">
        <f t="shared" si="7"/>
        <v>39000</v>
      </c>
      <c r="G106">
        <f>+VLOOKUP(B106,'producto terminado'!B:D,3,)</f>
        <v>0</v>
      </c>
      <c r="H106">
        <f t="shared" si="5"/>
        <v>10</v>
      </c>
      <c r="I106" s="4">
        <f t="shared" si="6"/>
        <v>39000</v>
      </c>
    </row>
    <row r="107" spans="1:9" x14ac:dyDescent="0.35">
      <c r="A107" t="s">
        <v>82</v>
      </c>
      <c r="B107" t="s">
        <v>104</v>
      </c>
      <c r="C107" t="s">
        <v>7</v>
      </c>
      <c r="D107">
        <v>16</v>
      </c>
      <c r="E107" s="1">
        <v>2880</v>
      </c>
      <c r="F107" s="1">
        <f t="shared" si="7"/>
        <v>46080</v>
      </c>
      <c r="G107">
        <f>+VLOOKUP(B107,'producto terminado'!B:D,3,)</f>
        <v>0</v>
      </c>
      <c r="H107">
        <f t="shared" si="5"/>
        <v>16</v>
      </c>
      <c r="I107" s="4">
        <f t="shared" si="6"/>
        <v>46080</v>
      </c>
    </row>
    <row r="108" spans="1:9" x14ac:dyDescent="0.35">
      <c r="A108" t="s">
        <v>82</v>
      </c>
      <c r="B108" t="s">
        <v>154</v>
      </c>
      <c r="C108" t="s">
        <v>7</v>
      </c>
      <c r="D108">
        <v>2</v>
      </c>
      <c r="E108" s="1">
        <v>2800</v>
      </c>
      <c r="F108" s="1">
        <f t="shared" si="7"/>
        <v>5600</v>
      </c>
      <c r="G108">
        <f>+VLOOKUP(B108,'producto terminado'!B:D,3,)</f>
        <v>0</v>
      </c>
      <c r="H108">
        <f t="shared" si="5"/>
        <v>2</v>
      </c>
      <c r="I108" s="4">
        <f t="shared" si="6"/>
        <v>5600</v>
      </c>
    </row>
    <row r="109" spans="1:9" x14ac:dyDescent="0.35">
      <c r="A109" t="s">
        <v>82</v>
      </c>
      <c r="B109" t="s">
        <v>152</v>
      </c>
      <c r="C109" t="s">
        <v>7</v>
      </c>
      <c r="D109">
        <v>12</v>
      </c>
      <c r="E109" s="1">
        <v>2700</v>
      </c>
      <c r="F109" s="1">
        <f t="shared" si="7"/>
        <v>32400</v>
      </c>
      <c r="G109">
        <f>+VLOOKUP(B109,'producto terminado'!B:D,3,)</f>
        <v>2</v>
      </c>
      <c r="H109">
        <f t="shared" si="5"/>
        <v>14</v>
      </c>
      <c r="I109" s="4">
        <f t="shared" si="6"/>
        <v>37800</v>
      </c>
    </row>
    <row r="110" spans="1:9" x14ac:dyDescent="0.35">
      <c r="A110" t="s">
        <v>82</v>
      </c>
      <c r="B110" t="s">
        <v>238</v>
      </c>
      <c r="C110" t="s">
        <v>7</v>
      </c>
      <c r="D110">
        <v>5</v>
      </c>
      <c r="E110" s="1">
        <v>3050</v>
      </c>
      <c r="F110" s="1">
        <f t="shared" si="7"/>
        <v>15250</v>
      </c>
      <c r="G110">
        <v>0</v>
      </c>
      <c r="H110">
        <f t="shared" si="5"/>
        <v>5</v>
      </c>
      <c r="I110" s="4">
        <f t="shared" si="6"/>
        <v>15250</v>
      </c>
    </row>
    <row r="111" spans="1:9" x14ac:dyDescent="0.35">
      <c r="A111" t="s">
        <v>82</v>
      </c>
      <c r="B111" t="s">
        <v>86</v>
      </c>
      <c r="C111" t="s">
        <v>7</v>
      </c>
      <c r="D111">
        <v>2</v>
      </c>
      <c r="E111" s="1">
        <v>2520</v>
      </c>
      <c r="F111" s="1">
        <f t="shared" si="7"/>
        <v>5040</v>
      </c>
      <c r="G111">
        <f>+VLOOKUP(B111,'producto terminado'!B:D,3,)</f>
        <v>0</v>
      </c>
      <c r="H111">
        <f t="shared" si="5"/>
        <v>2</v>
      </c>
      <c r="I111" s="4">
        <f t="shared" si="6"/>
        <v>5040</v>
      </c>
    </row>
    <row r="112" spans="1:9" x14ac:dyDescent="0.35">
      <c r="A112" t="s">
        <v>123</v>
      </c>
      <c r="B112" t="s">
        <v>118</v>
      </c>
      <c r="C112" t="s">
        <v>7</v>
      </c>
      <c r="D112">
        <v>1</v>
      </c>
      <c r="E112" s="1">
        <v>3800</v>
      </c>
      <c r="F112" s="1">
        <f t="shared" si="7"/>
        <v>3800</v>
      </c>
      <c r="G112">
        <f>+VLOOKUP(B112,'producto terminado'!B:D,3,)</f>
        <v>0.25</v>
      </c>
      <c r="H112">
        <f t="shared" si="5"/>
        <v>1.25</v>
      </c>
      <c r="I112" s="4">
        <f t="shared" si="6"/>
        <v>4750</v>
      </c>
    </row>
    <row r="113" spans="1:9" x14ac:dyDescent="0.35">
      <c r="A113" t="s">
        <v>123</v>
      </c>
      <c r="B113" t="s">
        <v>141</v>
      </c>
      <c r="C113" t="s">
        <v>4</v>
      </c>
      <c r="D113">
        <v>0</v>
      </c>
      <c r="E113" s="1">
        <v>3500</v>
      </c>
      <c r="F113" s="1">
        <f t="shared" ref="F113:F143" si="8">+E113*D113</f>
        <v>0</v>
      </c>
      <c r="G113">
        <f>+VLOOKUP(B113,'producto terminado'!B:D,3,)</f>
        <v>2</v>
      </c>
      <c r="H113">
        <f t="shared" si="5"/>
        <v>2</v>
      </c>
      <c r="I113" s="4">
        <f t="shared" si="6"/>
        <v>7000</v>
      </c>
    </row>
    <row r="114" spans="1:9" x14ac:dyDescent="0.35">
      <c r="A114" t="s">
        <v>123</v>
      </c>
      <c r="B114" t="s">
        <v>137</v>
      </c>
      <c r="C114" t="s">
        <v>7</v>
      </c>
      <c r="D114">
        <v>2.5</v>
      </c>
      <c r="E114" s="1">
        <v>2500</v>
      </c>
      <c r="F114" s="1">
        <f t="shared" si="8"/>
        <v>6250</v>
      </c>
      <c r="G114">
        <f>+VLOOKUP(B114,'producto terminado'!B:D,3,)</f>
        <v>0</v>
      </c>
      <c r="H114">
        <f t="shared" si="5"/>
        <v>2.5</v>
      </c>
      <c r="I114" s="4">
        <f t="shared" si="6"/>
        <v>6250</v>
      </c>
    </row>
    <row r="115" spans="1:9" x14ac:dyDescent="0.35">
      <c r="A115" t="s">
        <v>123</v>
      </c>
      <c r="B115" t="s">
        <v>148</v>
      </c>
      <c r="C115" t="s">
        <v>7</v>
      </c>
      <c r="D115">
        <v>3.4</v>
      </c>
      <c r="E115" s="1">
        <v>1800</v>
      </c>
      <c r="F115" s="1">
        <f t="shared" si="8"/>
        <v>6120</v>
      </c>
      <c r="G115">
        <f>+VLOOKUP(B115,'producto terminado'!B:D,3,)</f>
        <v>0</v>
      </c>
      <c r="H115">
        <f t="shared" si="5"/>
        <v>3.4</v>
      </c>
      <c r="I115" s="4">
        <f t="shared" si="6"/>
        <v>6120</v>
      </c>
    </row>
    <row r="116" spans="1:9" x14ac:dyDescent="0.35">
      <c r="A116" t="s">
        <v>123</v>
      </c>
      <c r="B116" t="s">
        <v>147</v>
      </c>
      <c r="C116" t="s">
        <v>7</v>
      </c>
      <c r="D116">
        <v>8.6</v>
      </c>
      <c r="E116" s="1">
        <v>1690</v>
      </c>
      <c r="F116" s="1">
        <f t="shared" si="8"/>
        <v>14534</v>
      </c>
      <c r="G116">
        <f>+VLOOKUP(B116,'producto terminado'!B:D,3,)</f>
        <v>0</v>
      </c>
      <c r="H116">
        <f t="shared" si="5"/>
        <v>8.6</v>
      </c>
      <c r="I116" s="4">
        <f t="shared" si="6"/>
        <v>14534</v>
      </c>
    </row>
    <row r="117" spans="1:9" x14ac:dyDescent="0.35">
      <c r="A117" t="s">
        <v>123</v>
      </c>
      <c r="B117" t="s">
        <v>142</v>
      </c>
      <c r="C117" t="s">
        <v>7</v>
      </c>
      <c r="D117">
        <v>2.5</v>
      </c>
      <c r="E117" s="1">
        <v>1300</v>
      </c>
      <c r="F117" s="1">
        <f t="shared" si="8"/>
        <v>3250</v>
      </c>
      <c r="G117">
        <f>+VLOOKUP(B117,'producto terminado'!B:D,3,)</f>
        <v>0</v>
      </c>
      <c r="H117">
        <f t="shared" si="5"/>
        <v>2.5</v>
      </c>
      <c r="I117" s="4">
        <f t="shared" si="6"/>
        <v>3250</v>
      </c>
    </row>
    <row r="118" spans="1:9" x14ac:dyDescent="0.35">
      <c r="A118" t="s">
        <v>123</v>
      </c>
      <c r="B118" t="s">
        <v>153</v>
      </c>
      <c r="C118" t="s">
        <v>7</v>
      </c>
      <c r="D118">
        <v>7</v>
      </c>
      <c r="F118" s="1">
        <f t="shared" si="8"/>
        <v>0</v>
      </c>
      <c r="G118">
        <f>+VLOOKUP(B118,'producto terminado'!B:D,3,)</f>
        <v>0</v>
      </c>
      <c r="H118">
        <f t="shared" si="5"/>
        <v>7</v>
      </c>
      <c r="I118" s="4">
        <f t="shared" si="6"/>
        <v>0</v>
      </c>
    </row>
    <row r="119" spans="1:9" x14ac:dyDescent="0.35">
      <c r="A119" t="s">
        <v>9</v>
      </c>
      <c r="B119" t="s">
        <v>78</v>
      </c>
      <c r="C119" t="s">
        <v>7</v>
      </c>
      <c r="D119">
        <v>5</v>
      </c>
      <c r="E119" s="1">
        <v>20500</v>
      </c>
      <c r="F119" s="1">
        <f t="shared" si="8"/>
        <v>102500</v>
      </c>
      <c r="G119">
        <f>+VLOOKUP(B119,'producto terminado'!B:D,3,)</f>
        <v>0</v>
      </c>
      <c r="H119">
        <f t="shared" si="5"/>
        <v>5</v>
      </c>
      <c r="I119" s="4">
        <f t="shared" si="6"/>
        <v>102500</v>
      </c>
    </row>
    <row r="120" spans="1:9" x14ac:dyDescent="0.35">
      <c r="A120" t="s">
        <v>9</v>
      </c>
      <c r="B120" t="s">
        <v>22</v>
      </c>
      <c r="C120" t="s">
        <v>7</v>
      </c>
      <c r="D120">
        <v>0</v>
      </c>
      <c r="F120" s="1">
        <f t="shared" si="8"/>
        <v>0</v>
      </c>
      <c r="G120">
        <f>+VLOOKUP(B120,'producto terminado'!B:D,3,)</f>
        <v>0</v>
      </c>
      <c r="H120">
        <f t="shared" si="5"/>
        <v>0</v>
      </c>
      <c r="I120" s="4">
        <f t="shared" si="6"/>
        <v>0</v>
      </c>
    </row>
    <row r="121" spans="1:9" x14ac:dyDescent="0.35">
      <c r="A121" t="s">
        <v>9</v>
      </c>
      <c r="B121" t="s">
        <v>77</v>
      </c>
      <c r="C121" t="s">
        <v>7</v>
      </c>
      <c r="D121">
        <v>4</v>
      </c>
      <c r="F121" s="1">
        <f t="shared" si="8"/>
        <v>0</v>
      </c>
      <c r="G121">
        <f>+VLOOKUP(B121,'producto terminado'!B:D,3,)</f>
        <v>0</v>
      </c>
      <c r="H121">
        <f t="shared" si="5"/>
        <v>4</v>
      </c>
      <c r="I121" s="4">
        <f t="shared" si="6"/>
        <v>0</v>
      </c>
    </row>
    <row r="122" spans="1:9" x14ac:dyDescent="0.35">
      <c r="A122" t="s">
        <v>114</v>
      </c>
      <c r="B122" t="s">
        <v>116</v>
      </c>
      <c r="C122" t="s">
        <v>4</v>
      </c>
      <c r="D122">
        <v>0</v>
      </c>
      <c r="E122" s="1">
        <v>23900</v>
      </c>
      <c r="F122" s="1">
        <f t="shared" si="8"/>
        <v>0</v>
      </c>
      <c r="G122">
        <f>+VLOOKUP(B122,'producto terminado'!B:D,3,)</f>
        <v>0.9</v>
      </c>
      <c r="H122">
        <f t="shared" si="5"/>
        <v>0.9</v>
      </c>
      <c r="I122" s="4">
        <f t="shared" si="6"/>
        <v>21510</v>
      </c>
    </row>
    <row r="123" spans="1:9" x14ac:dyDescent="0.35">
      <c r="A123" t="s">
        <v>114</v>
      </c>
      <c r="B123" t="s">
        <v>115</v>
      </c>
      <c r="C123" t="s">
        <v>4</v>
      </c>
      <c r="D123">
        <v>0</v>
      </c>
      <c r="E123" s="1">
        <v>21900</v>
      </c>
      <c r="F123" s="1">
        <f t="shared" si="8"/>
        <v>0</v>
      </c>
      <c r="G123">
        <f>+VLOOKUP(B123,'producto terminado'!B:D,3,)</f>
        <v>1.2</v>
      </c>
      <c r="H123">
        <f t="shared" si="5"/>
        <v>1.2</v>
      </c>
      <c r="I123" s="4">
        <f t="shared" si="6"/>
        <v>26280</v>
      </c>
    </row>
    <row r="124" spans="1:9" x14ac:dyDescent="0.35">
      <c r="A124" t="s">
        <v>114</v>
      </c>
      <c r="B124" t="s">
        <v>117</v>
      </c>
      <c r="C124" t="s">
        <v>4</v>
      </c>
      <c r="D124">
        <v>0</v>
      </c>
      <c r="E124" s="1">
        <v>21900</v>
      </c>
      <c r="F124" s="1">
        <f t="shared" si="8"/>
        <v>0</v>
      </c>
      <c r="G124">
        <f>+VLOOKUP(B124,'producto terminado'!B:D,3,)</f>
        <v>0.5</v>
      </c>
      <c r="H124">
        <f t="shared" si="5"/>
        <v>0.5</v>
      </c>
      <c r="I124" s="4">
        <f t="shared" si="6"/>
        <v>10950</v>
      </c>
    </row>
    <row r="125" spans="1:9" x14ac:dyDescent="0.35">
      <c r="A125" t="s">
        <v>114</v>
      </c>
      <c r="B125" t="s">
        <v>118</v>
      </c>
      <c r="C125" t="s">
        <v>4</v>
      </c>
      <c r="D125">
        <v>0</v>
      </c>
      <c r="E125" s="1">
        <v>21900</v>
      </c>
      <c r="F125" s="1">
        <f t="shared" si="8"/>
        <v>0</v>
      </c>
      <c r="G125">
        <f>+VLOOKUP(B125,'producto terminado'!B:D,3,)</f>
        <v>0.25</v>
      </c>
      <c r="H125">
        <f t="shared" si="5"/>
        <v>0.25</v>
      </c>
      <c r="I125" s="4">
        <f t="shared" si="6"/>
        <v>5475</v>
      </c>
    </row>
    <row r="126" spans="1:9" x14ac:dyDescent="0.35">
      <c r="A126" t="s">
        <v>127</v>
      </c>
      <c r="B126" t="s">
        <v>128</v>
      </c>
      <c r="C126" t="s">
        <v>7</v>
      </c>
      <c r="D126">
        <v>0</v>
      </c>
      <c r="E126" s="1">
        <v>8500</v>
      </c>
      <c r="F126" s="1">
        <f t="shared" si="8"/>
        <v>0</v>
      </c>
      <c r="G126">
        <f>+VLOOKUP(B126,'producto terminado'!B:D,3,)</f>
        <v>7</v>
      </c>
      <c r="H126">
        <f t="shared" si="5"/>
        <v>7</v>
      </c>
      <c r="I126" s="4">
        <f t="shared" si="6"/>
        <v>59500</v>
      </c>
    </row>
    <row r="127" spans="1:9" x14ac:dyDescent="0.35">
      <c r="A127" t="s">
        <v>10</v>
      </c>
      <c r="B127" t="s">
        <v>47</v>
      </c>
      <c r="C127" t="s">
        <v>4</v>
      </c>
      <c r="D127">
        <v>1</v>
      </c>
      <c r="E127" s="1">
        <v>39000</v>
      </c>
      <c r="F127" s="1">
        <f t="shared" si="8"/>
        <v>39000</v>
      </c>
      <c r="G127">
        <f>+VLOOKUP(B127,'producto terminado'!B:D,3,)</f>
        <v>0</v>
      </c>
      <c r="H127">
        <f t="shared" si="5"/>
        <v>1</v>
      </c>
      <c r="I127" s="4">
        <f t="shared" si="6"/>
        <v>39000</v>
      </c>
    </row>
    <row r="128" spans="1:9" x14ac:dyDescent="0.35">
      <c r="A128" t="s">
        <v>10</v>
      </c>
      <c r="B128" t="s">
        <v>44</v>
      </c>
      <c r="C128" t="s">
        <v>4</v>
      </c>
      <c r="D128">
        <v>0</v>
      </c>
      <c r="E128" s="1">
        <v>8990</v>
      </c>
      <c r="F128" s="1">
        <f t="shared" si="8"/>
        <v>0</v>
      </c>
      <c r="G128">
        <f>+VLOOKUP(B128,'producto terminado'!B:D,3,)</f>
        <v>0</v>
      </c>
      <c r="H128">
        <f t="shared" si="5"/>
        <v>0</v>
      </c>
      <c r="I128" s="4">
        <f t="shared" si="6"/>
        <v>0</v>
      </c>
    </row>
    <row r="129" spans="1:9" x14ac:dyDescent="0.35">
      <c r="A129" t="s">
        <v>10</v>
      </c>
      <c r="B129" t="s">
        <v>46</v>
      </c>
      <c r="C129" t="s">
        <v>4</v>
      </c>
      <c r="D129">
        <v>2</v>
      </c>
      <c r="E129" s="1">
        <v>2713</v>
      </c>
      <c r="F129" s="1">
        <f t="shared" si="8"/>
        <v>5426</v>
      </c>
      <c r="G129">
        <f>+VLOOKUP(B129,'producto terminado'!B:D,3,)</f>
        <v>0</v>
      </c>
      <c r="H129">
        <f t="shared" si="5"/>
        <v>2</v>
      </c>
      <c r="I129" s="4">
        <f t="shared" si="6"/>
        <v>5426</v>
      </c>
    </row>
    <row r="130" spans="1:9" x14ac:dyDescent="0.35">
      <c r="A130" t="s">
        <v>10</v>
      </c>
      <c r="B130" t="s">
        <v>87</v>
      </c>
      <c r="C130" t="s">
        <v>4</v>
      </c>
      <c r="D130">
        <v>3</v>
      </c>
      <c r="E130" s="1">
        <v>2658</v>
      </c>
      <c r="F130" s="1">
        <f t="shared" si="8"/>
        <v>7974</v>
      </c>
      <c r="G130">
        <f>+VLOOKUP(B130,'producto terminado'!B:D,3,)</f>
        <v>0</v>
      </c>
      <c r="H130">
        <f t="shared" si="5"/>
        <v>3</v>
      </c>
      <c r="I130" s="4">
        <f t="shared" si="6"/>
        <v>7974</v>
      </c>
    </row>
    <row r="131" spans="1:9" x14ac:dyDescent="0.35">
      <c r="A131" t="s">
        <v>10</v>
      </c>
      <c r="B131" t="s">
        <v>79</v>
      </c>
      <c r="C131" t="s">
        <v>4</v>
      </c>
      <c r="D131">
        <v>9</v>
      </c>
      <c r="E131" s="1">
        <v>1500</v>
      </c>
      <c r="F131" s="1">
        <f t="shared" si="8"/>
        <v>13500</v>
      </c>
      <c r="G131">
        <f>+VLOOKUP(B131,'producto terminado'!B:D,3,)</f>
        <v>0</v>
      </c>
      <c r="H131">
        <f t="shared" ref="H131:H194" si="9">+G131+D131</f>
        <v>9</v>
      </c>
      <c r="I131" s="4">
        <f t="shared" ref="I131:I194" si="10">+H131*E131</f>
        <v>13500</v>
      </c>
    </row>
    <row r="132" spans="1:9" x14ac:dyDescent="0.35">
      <c r="A132" t="s">
        <v>10</v>
      </c>
      <c r="B132" t="s">
        <v>45</v>
      </c>
      <c r="C132" t="s">
        <v>4</v>
      </c>
      <c r="D132">
        <v>1</v>
      </c>
      <c r="F132" s="1">
        <f t="shared" si="8"/>
        <v>0</v>
      </c>
      <c r="G132">
        <f>+VLOOKUP(B132,'producto terminado'!B:D,3,)</f>
        <v>0</v>
      </c>
      <c r="H132">
        <f t="shared" si="9"/>
        <v>1</v>
      </c>
      <c r="I132" s="4">
        <f t="shared" si="10"/>
        <v>0</v>
      </c>
    </row>
    <row r="133" spans="1:9" x14ac:dyDescent="0.35">
      <c r="A133" t="s">
        <v>10</v>
      </c>
      <c r="B133" t="s">
        <v>88</v>
      </c>
      <c r="C133" t="s">
        <v>89</v>
      </c>
      <c r="D133">
        <v>3</v>
      </c>
      <c r="F133" s="1">
        <f t="shared" si="8"/>
        <v>0</v>
      </c>
      <c r="G133">
        <f>+VLOOKUP(B133,'producto terminado'!B:D,3,)</f>
        <v>0</v>
      </c>
      <c r="H133">
        <f t="shared" si="9"/>
        <v>3</v>
      </c>
      <c r="I133" s="4">
        <f t="shared" si="10"/>
        <v>0</v>
      </c>
    </row>
    <row r="134" spans="1:9" x14ac:dyDescent="0.35">
      <c r="A134" t="s">
        <v>10</v>
      </c>
      <c r="B134" t="s">
        <v>96</v>
      </c>
      <c r="C134" t="s">
        <v>4</v>
      </c>
      <c r="D134">
        <v>0</v>
      </c>
      <c r="F134" s="1">
        <f t="shared" si="8"/>
        <v>0</v>
      </c>
      <c r="G134">
        <f>+VLOOKUP(B134,'producto terminado'!B:D,3,)</f>
        <v>2</v>
      </c>
      <c r="H134">
        <f t="shared" si="9"/>
        <v>2</v>
      </c>
      <c r="I134" s="4">
        <f t="shared" si="10"/>
        <v>0</v>
      </c>
    </row>
    <row r="135" spans="1:9" x14ac:dyDescent="0.35">
      <c r="A135" t="s">
        <v>10</v>
      </c>
      <c r="B135" t="s">
        <v>99</v>
      </c>
      <c r="C135" t="s">
        <v>4</v>
      </c>
      <c r="D135">
        <v>12</v>
      </c>
      <c r="F135" s="1">
        <f t="shared" si="8"/>
        <v>0</v>
      </c>
      <c r="G135">
        <f>+VLOOKUP(B135,'producto terminado'!B:D,3,)</f>
        <v>0</v>
      </c>
      <c r="H135">
        <f t="shared" si="9"/>
        <v>12</v>
      </c>
      <c r="I135" s="4">
        <f t="shared" si="10"/>
        <v>0</v>
      </c>
    </row>
    <row r="136" spans="1:9" x14ac:dyDescent="0.35">
      <c r="A136" t="s">
        <v>11</v>
      </c>
      <c r="B136" t="s">
        <v>49</v>
      </c>
      <c r="C136" t="s">
        <v>4</v>
      </c>
      <c r="D136">
        <v>2</v>
      </c>
      <c r="E136" s="1">
        <v>40000</v>
      </c>
      <c r="F136" s="1">
        <f t="shared" si="8"/>
        <v>80000</v>
      </c>
      <c r="G136">
        <f>+VLOOKUP(B136,'producto terminado'!B:D,3,)</f>
        <v>0.4</v>
      </c>
      <c r="H136">
        <f t="shared" si="9"/>
        <v>2.4</v>
      </c>
      <c r="I136" s="4">
        <f t="shared" si="10"/>
        <v>96000</v>
      </c>
    </row>
    <row r="137" spans="1:9" x14ac:dyDescent="0.35">
      <c r="A137" t="s">
        <v>11</v>
      </c>
      <c r="B137" t="s">
        <v>51</v>
      </c>
      <c r="C137" t="s">
        <v>7</v>
      </c>
      <c r="D137">
        <v>0</v>
      </c>
      <c r="E137" s="1">
        <v>18000</v>
      </c>
      <c r="F137" s="1">
        <f t="shared" si="8"/>
        <v>0</v>
      </c>
      <c r="G137">
        <f>+VLOOKUP(B137,'producto terminado'!B:D,3,)</f>
        <v>0</v>
      </c>
      <c r="H137">
        <f t="shared" si="9"/>
        <v>0</v>
      </c>
      <c r="I137" s="4">
        <f t="shared" si="10"/>
        <v>0</v>
      </c>
    </row>
    <row r="138" spans="1:9" x14ac:dyDescent="0.35">
      <c r="A138" t="s">
        <v>11</v>
      </c>
      <c r="B138" t="s">
        <v>92</v>
      </c>
      <c r="C138" t="s">
        <v>7</v>
      </c>
      <c r="D138">
        <v>3.98</v>
      </c>
      <c r="E138" s="1">
        <v>9990</v>
      </c>
      <c r="F138" s="1">
        <f t="shared" si="8"/>
        <v>39760.199999999997</v>
      </c>
      <c r="G138">
        <f>+VLOOKUP(B138,'producto terminado'!B:D,3,)</f>
        <v>1.49</v>
      </c>
      <c r="H138">
        <f t="shared" si="9"/>
        <v>5.47</v>
      </c>
      <c r="I138" s="4">
        <f t="shared" si="10"/>
        <v>54645.299999999996</v>
      </c>
    </row>
    <row r="139" spans="1:9" x14ac:dyDescent="0.35">
      <c r="A139" t="s">
        <v>11</v>
      </c>
      <c r="B139" t="s">
        <v>48</v>
      </c>
      <c r="C139" t="s">
        <v>4</v>
      </c>
      <c r="D139">
        <v>4</v>
      </c>
      <c r="E139" s="1">
        <v>7460</v>
      </c>
      <c r="F139" s="1">
        <f t="shared" si="8"/>
        <v>29840</v>
      </c>
      <c r="G139">
        <f>+VLOOKUP(B139,'producto terminado'!B:D,3,)</f>
        <v>0</v>
      </c>
      <c r="H139">
        <f t="shared" si="9"/>
        <v>4</v>
      </c>
      <c r="I139" s="4">
        <f t="shared" si="10"/>
        <v>29840</v>
      </c>
    </row>
    <row r="140" spans="1:9" x14ac:dyDescent="0.35">
      <c r="A140" t="s">
        <v>11</v>
      </c>
      <c r="B140" t="s">
        <v>66</v>
      </c>
      <c r="C140" t="s">
        <v>7</v>
      </c>
      <c r="D140">
        <v>4</v>
      </c>
      <c r="E140" s="1">
        <v>6176</v>
      </c>
      <c r="F140" s="1">
        <f t="shared" si="8"/>
        <v>24704</v>
      </c>
      <c r="G140">
        <f>+VLOOKUP(B140,'producto terminado'!B:D,3,)</f>
        <v>0</v>
      </c>
      <c r="H140">
        <f t="shared" si="9"/>
        <v>4</v>
      </c>
      <c r="I140" s="4">
        <f t="shared" si="10"/>
        <v>24704</v>
      </c>
    </row>
    <row r="141" spans="1:9" x14ac:dyDescent="0.35">
      <c r="A141" t="s">
        <v>11</v>
      </c>
      <c r="B141" t="s">
        <v>101</v>
      </c>
      <c r="C141" t="s">
        <v>4</v>
      </c>
      <c r="D141">
        <v>8</v>
      </c>
      <c r="E141" s="1">
        <v>4750</v>
      </c>
      <c r="F141" s="1">
        <f t="shared" si="8"/>
        <v>38000</v>
      </c>
      <c r="G141">
        <f>+VLOOKUP(B141,'producto terminado'!B:D,3,)</f>
        <v>0</v>
      </c>
      <c r="H141">
        <f t="shared" si="9"/>
        <v>8</v>
      </c>
      <c r="I141" s="4">
        <f t="shared" si="10"/>
        <v>38000</v>
      </c>
    </row>
    <row r="142" spans="1:9" x14ac:dyDescent="0.35">
      <c r="A142" t="s">
        <v>11</v>
      </c>
      <c r="B142" t="s">
        <v>94</v>
      </c>
      <c r="C142" t="s">
        <v>4</v>
      </c>
      <c r="D142">
        <v>31</v>
      </c>
      <c r="E142" s="1">
        <v>1760</v>
      </c>
      <c r="F142" s="1">
        <f t="shared" si="8"/>
        <v>54560</v>
      </c>
      <c r="G142">
        <f>+VLOOKUP(B142,'producto terminado'!B:D,3,)</f>
        <v>0</v>
      </c>
      <c r="H142">
        <f t="shared" si="9"/>
        <v>31</v>
      </c>
      <c r="I142" s="4">
        <f t="shared" si="10"/>
        <v>54560</v>
      </c>
    </row>
    <row r="143" spans="1:9" x14ac:dyDescent="0.35">
      <c r="A143" t="s">
        <v>11</v>
      </c>
      <c r="B143" t="s">
        <v>102</v>
      </c>
      <c r="C143" t="s">
        <v>4</v>
      </c>
      <c r="D143">
        <v>0</v>
      </c>
      <c r="E143" s="1">
        <v>1749.5</v>
      </c>
      <c r="F143" s="1">
        <f t="shared" si="8"/>
        <v>0</v>
      </c>
      <c r="G143">
        <f>+VLOOKUP(B143,'producto terminado'!B:D,3,)</f>
        <v>11</v>
      </c>
      <c r="H143">
        <f t="shared" si="9"/>
        <v>11</v>
      </c>
      <c r="I143" s="4">
        <f t="shared" si="10"/>
        <v>19244.5</v>
      </c>
    </row>
    <row r="144" spans="1:9" x14ac:dyDescent="0.35">
      <c r="A144" t="s">
        <v>11</v>
      </c>
      <c r="B144" t="s">
        <v>97</v>
      </c>
      <c r="C144" t="s">
        <v>4</v>
      </c>
      <c r="D144">
        <v>30</v>
      </c>
      <c r="E144" s="1">
        <v>1530</v>
      </c>
      <c r="F144" s="1">
        <f t="shared" ref="F144:F175" si="11">+E144*D144</f>
        <v>45900</v>
      </c>
      <c r="G144">
        <f>+VLOOKUP(B144,'producto terminado'!B:D,3,)</f>
        <v>0</v>
      </c>
      <c r="H144">
        <f t="shared" si="9"/>
        <v>30</v>
      </c>
      <c r="I144" s="4">
        <f t="shared" si="10"/>
        <v>45900</v>
      </c>
    </row>
    <row r="145" spans="1:9" x14ac:dyDescent="0.35">
      <c r="A145" t="s">
        <v>11</v>
      </c>
      <c r="B145" t="s">
        <v>103</v>
      </c>
      <c r="C145" t="s">
        <v>4</v>
      </c>
      <c r="D145">
        <v>9</v>
      </c>
      <c r="E145" s="1">
        <v>1400</v>
      </c>
      <c r="F145" s="1">
        <f t="shared" si="11"/>
        <v>12600</v>
      </c>
      <c r="G145">
        <f>+VLOOKUP(B145,'producto terminado'!B:D,3,)</f>
        <v>2</v>
      </c>
      <c r="H145">
        <f t="shared" si="9"/>
        <v>11</v>
      </c>
      <c r="I145" s="4">
        <f t="shared" si="10"/>
        <v>15400</v>
      </c>
    </row>
    <row r="146" spans="1:9" x14ac:dyDescent="0.35">
      <c r="A146" t="s">
        <v>11</v>
      </c>
      <c r="B146" t="s">
        <v>63</v>
      </c>
      <c r="C146" t="s">
        <v>4</v>
      </c>
      <c r="D146">
        <v>1</v>
      </c>
      <c r="F146" s="1">
        <f t="shared" si="11"/>
        <v>0</v>
      </c>
      <c r="G146">
        <f>+VLOOKUP(B146,'producto terminado'!B:D,3,)</f>
        <v>0</v>
      </c>
      <c r="H146">
        <f t="shared" si="9"/>
        <v>1</v>
      </c>
      <c r="I146" s="4">
        <f t="shared" si="10"/>
        <v>0</v>
      </c>
    </row>
    <row r="147" spans="1:9" x14ac:dyDescent="0.35">
      <c r="A147" t="s">
        <v>119</v>
      </c>
      <c r="B147" t="s">
        <v>120</v>
      </c>
      <c r="C147" t="s">
        <v>7</v>
      </c>
      <c r="E147" s="1">
        <v>9500</v>
      </c>
      <c r="F147" s="1">
        <f t="shared" si="11"/>
        <v>0</v>
      </c>
      <c r="G147">
        <f>+VLOOKUP(B147,'producto terminado'!B:D,3,)</f>
        <v>9.5540000000000003</v>
      </c>
      <c r="H147">
        <f t="shared" si="9"/>
        <v>9.5540000000000003</v>
      </c>
      <c r="I147" s="4">
        <f t="shared" si="10"/>
        <v>90763</v>
      </c>
    </row>
    <row r="148" spans="1:9" x14ac:dyDescent="0.35">
      <c r="A148" t="s">
        <v>110</v>
      </c>
      <c r="B148" t="s">
        <v>181</v>
      </c>
      <c r="C148" t="s">
        <v>7</v>
      </c>
      <c r="D148">
        <v>15</v>
      </c>
      <c r="E148" s="1">
        <v>26950</v>
      </c>
      <c r="F148" s="1">
        <f t="shared" si="11"/>
        <v>404250</v>
      </c>
      <c r="G148">
        <f>+VLOOKUP(B148,'producto terminado'!B:D,3,)</f>
        <v>4.6749999999999998</v>
      </c>
      <c r="H148">
        <f t="shared" si="9"/>
        <v>19.675000000000001</v>
      </c>
      <c r="I148" s="4">
        <f t="shared" si="10"/>
        <v>530241.25</v>
      </c>
    </row>
    <row r="149" spans="1:9" x14ac:dyDescent="0.35">
      <c r="A149" t="s">
        <v>110</v>
      </c>
      <c r="B149" t="s">
        <v>172</v>
      </c>
      <c r="C149" t="s">
        <v>7</v>
      </c>
      <c r="D149">
        <v>26.6</v>
      </c>
      <c r="E149" s="1">
        <v>25490</v>
      </c>
      <c r="F149" s="1">
        <f t="shared" si="11"/>
        <v>678034</v>
      </c>
      <c r="G149">
        <f>+VLOOKUP(B149,'producto terminado'!B:D,3,)</f>
        <v>5.2649999999999997</v>
      </c>
      <c r="H149">
        <f t="shared" si="9"/>
        <v>31.865000000000002</v>
      </c>
      <c r="I149" s="4">
        <f t="shared" si="10"/>
        <v>812238.85000000009</v>
      </c>
    </row>
    <row r="150" spans="1:9" x14ac:dyDescent="0.35">
      <c r="A150" t="s">
        <v>110</v>
      </c>
      <c r="B150" t="s">
        <v>173</v>
      </c>
      <c r="C150" t="s">
        <v>7</v>
      </c>
      <c r="D150">
        <v>17.399999999999999</v>
      </c>
      <c r="E150" s="1">
        <v>19990</v>
      </c>
      <c r="F150" s="1">
        <f t="shared" si="11"/>
        <v>347826</v>
      </c>
      <c r="G150">
        <f>+VLOOKUP(B150,'producto terminado'!B:D,3,)</f>
        <v>17.170000000000002</v>
      </c>
      <c r="H150">
        <f t="shared" si="9"/>
        <v>34.57</v>
      </c>
      <c r="I150" s="4">
        <f t="shared" si="10"/>
        <v>691054.3</v>
      </c>
    </row>
    <row r="151" spans="1:9" x14ac:dyDescent="0.35">
      <c r="A151" t="s">
        <v>110</v>
      </c>
      <c r="B151" t="s">
        <v>200</v>
      </c>
      <c r="C151" t="s">
        <v>7</v>
      </c>
      <c r="D151">
        <v>0</v>
      </c>
      <c r="E151" s="1">
        <v>16776</v>
      </c>
      <c r="F151" s="1">
        <f t="shared" si="11"/>
        <v>0</v>
      </c>
      <c r="G151">
        <f>+VLOOKUP(B151,'producto terminado'!B:D,3,)</f>
        <v>0</v>
      </c>
      <c r="H151">
        <f t="shared" si="9"/>
        <v>0</v>
      </c>
      <c r="I151" s="4">
        <f t="shared" si="10"/>
        <v>0</v>
      </c>
    </row>
    <row r="152" spans="1:9" x14ac:dyDescent="0.35">
      <c r="A152" t="s">
        <v>110</v>
      </c>
      <c r="B152" t="s">
        <v>198</v>
      </c>
      <c r="C152" t="s">
        <v>7</v>
      </c>
      <c r="D152">
        <v>0</v>
      </c>
      <c r="E152" s="1">
        <v>14300</v>
      </c>
      <c r="F152" s="1">
        <f t="shared" si="11"/>
        <v>0</v>
      </c>
      <c r="G152">
        <f>+VLOOKUP(B152,'producto terminado'!B:D,3,)</f>
        <v>2.35</v>
      </c>
      <c r="H152">
        <f t="shared" si="9"/>
        <v>2.35</v>
      </c>
      <c r="I152" s="4">
        <f t="shared" si="10"/>
        <v>33605</v>
      </c>
    </row>
    <row r="153" spans="1:9" x14ac:dyDescent="0.35">
      <c r="A153" t="s">
        <v>110</v>
      </c>
      <c r="B153" t="s">
        <v>179</v>
      </c>
      <c r="C153" t="s">
        <v>7</v>
      </c>
      <c r="D153">
        <v>56.4</v>
      </c>
      <c r="E153" s="1">
        <v>13390</v>
      </c>
      <c r="F153" s="1">
        <f t="shared" si="11"/>
        <v>755196</v>
      </c>
      <c r="G153">
        <f>+VLOOKUP(B153,'producto terminado'!B:D,3,)</f>
        <v>2.4000000000000004</v>
      </c>
      <c r="H153">
        <f t="shared" si="9"/>
        <v>58.8</v>
      </c>
      <c r="I153" s="4">
        <f t="shared" si="10"/>
        <v>787332</v>
      </c>
    </row>
    <row r="154" spans="1:9" x14ac:dyDescent="0.35">
      <c r="A154" t="s">
        <v>110</v>
      </c>
      <c r="B154" t="s">
        <v>187</v>
      </c>
      <c r="C154" t="s">
        <v>7</v>
      </c>
      <c r="D154">
        <v>7.4</v>
      </c>
      <c r="E154" s="1">
        <v>13000</v>
      </c>
      <c r="F154" s="1">
        <f t="shared" si="11"/>
        <v>96200</v>
      </c>
      <c r="G154">
        <f>+VLOOKUP(B154,'producto terminado'!B:D,3,)</f>
        <v>0</v>
      </c>
      <c r="H154">
        <f t="shared" si="9"/>
        <v>7.4</v>
      </c>
      <c r="I154" s="4">
        <f t="shared" si="10"/>
        <v>96200</v>
      </c>
    </row>
    <row r="155" spans="1:9" x14ac:dyDescent="0.35">
      <c r="A155" t="s">
        <v>110</v>
      </c>
      <c r="B155" t="s">
        <v>178</v>
      </c>
      <c r="C155" t="s">
        <v>4</v>
      </c>
      <c r="D155">
        <v>3</v>
      </c>
      <c r="E155" s="1">
        <v>12990</v>
      </c>
      <c r="F155" s="1">
        <f t="shared" si="11"/>
        <v>38970</v>
      </c>
      <c r="G155">
        <f>+VLOOKUP(B155,'producto terminado'!B:D,3,)</f>
        <v>0</v>
      </c>
      <c r="H155">
        <f t="shared" si="9"/>
        <v>3</v>
      </c>
      <c r="I155" s="4">
        <f t="shared" si="10"/>
        <v>38970</v>
      </c>
    </row>
    <row r="156" spans="1:9" x14ac:dyDescent="0.35">
      <c r="A156" t="s">
        <v>110</v>
      </c>
      <c r="B156" t="s">
        <v>185</v>
      </c>
      <c r="C156" t="s">
        <v>7</v>
      </c>
      <c r="D156">
        <v>3.1</v>
      </c>
      <c r="E156" s="1">
        <v>12400</v>
      </c>
      <c r="F156" s="1">
        <f t="shared" si="11"/>
        <v>38440</v>
      </c>
      <c r="G156">
        <f>+VLOOKUP(B156,'producto terminado'!B:D,3,)</f>
        <v>3.91</v>
      </c>
      <c r="H156">
        <f t="shared" si="9"/>
        <v>7.01</v>
      </c>
      <c r="I156" s="4">
        <f t="shared" si="10"/>
        <v>86924</v>
      </c>
    </row>
    <row r="157" spans="1:9" x14ac:dyDescent="0.35">
      <c r="A157" t="s">
        <v>110</v>
      </c>
      <c r="B157" t="s">
        <v>196</v>
      </c>
      <c r="C157" t="s">
        <v>7</v>
      </c>
      <c r="D157">
        <v>0</v>
      </c>
      <c r="E157" s="1">
        <v>11990</v>
      </c>
      <c r="F157" s="1">
        <f t="shared" si="11"/>
        <v>0</v>
      </c>
      <c r="G157">
        <f>+VLOOKUP(B157,'producto terminado'!B:D,3,)</f>
        <v>7.1849999999999996</v>
      </c>
      <c r="H157">
        <f t="shared" si="9"/>
        <v>7.1849999999999996</v>
      </c>
      <c r="I157" s="4">
        <f t="shared" si="10"/>
        <v>86148.15</v>
      </c>
    </row>
    <row r="158" spans="1:9" x14ac:dyDescent="0.35">
      <c r="A158" t="s">
        <v>110</v>
      </c>
      <c r="B158" t="s">
        <v>176</v>
      </c>
      <c r="C158" t="s">
        <v>7</v>
      </c>
      <c r="D158">
        <v>0</v>
      </c>
      <c r="E158" s="1">
        <v>11790</v>
      </c>
      <c r="F158" s="1">
        <f t="shared" si="11"/>
        <v>0</v>
      </c>
      <c r="G158">
        <f>+VLOOKUP(B158,'producto terminado'!B:D,3,)</f>
        <v>3.4000000000000004</v>
      </c>
      <c r="H158">
        <f t="shared" si="9"/>
        <v>3.4000000000000004</v>
      </c>
      <c r="I158" s="4">
        <f t="shared" si="10"/>
        <v>40086.000000000007</v>
      </c>
    </row>
    <row r="159" spans="1:9" x14ac:dyDescent="0.35">
      <c r="A159" t="s">
        <v>110</v>
      </c>
      <c r="B159" t="s">
        <v>188</v>
      </c>
      <c r="C159" t="s">
        <v>7</v>
      </c>
      <c r="D159">
        <v>11.9</v>
      </c>
      <c r="E159" s="1">
        <v>10990</v>
      </c>
      <c r="F159" s="1">
        <f t="shared" si="11"/>
        <v>130781</v>
      </c>
      <c r="G159">
        <f>+VLOOKUP(B159,'producto terminado'!B:D,3,)</f>
        <v>4.5</v>
      </c>
      <c r="H159">
        <f t="shared" si="9"/>
        <v>16.399999999999999</v>
      </c>
      <c r="I159" s="4">
        <f t="shared" si="10"/>
        <v>180235.99999999997</v>
      </c>
    </row>
    <row r="160" spans="1:9" x14ac:dyDescent="0.35">
      <c r="A160" t="s">
        <v>110</v>
      </c>
      <c r="B160" t="s">
        <v>183</v>
      </c>
      <c r="C160" t="s">
        <v>7</v>
      </c>
      <c r="D160">
        <v>10</v>
      </c>
      <c r="E160" s="1">
        <v>9820</v>
      </c>
      <c r="F160" s="1">
        <f t="shared" si="11"/>
        <v>98200</v>
      </c>
      <c r="G160">
        <f>+VLOOKUP(B160,'producto terminado'!B:D,3,)</f>
        <v>0</v>
      </c>
      <c r="H160">
        <f t="shared" si="9"/>
        <v>10</v>
      </c>
      <c r="I160" s="4">
        <f t="shared" si="10"/>
        <v>98200</v>
      </c>
    </row>
    <row r="161" spans="1:9" x14ac:dyDescent="0.35">
      <c r="A161" t="s">
        <v>110</v>
      </c>
      <c r="B161" t="s">
        <v>174</v>
      </c>
      <c r="C161" t="s">
        <v>7</v>
      </c>
      <c r="D161">
        <v>41.4</v>
      </c>
      <c r="E161" s="1">
        <v>7100</v>
      </c>
      <c r="F161" s="1">
        <f t="shared" si="11"/>
        <v>293940</v>
      </c>
      <c r="G161">
        <f>+VLOOKUP(B161,'producto terminado'!B:D,3,)</f>
        <v>0</v>
      </c>
      <c r="H161">
        <f t="shared" si="9"/>
        <v>41.4</v>
      </c>
      <c r="I161" s="4">
        <f t="shared" si="10"/>
        <v>293940</v>
      </c>
    </row>
    <row r="162" spans="1:9" x14ac:dyDescent="0.35">
      <c r="A162" t="s">
        <v>110</v>
      </c>
      <c r="B162" t="s">
        <v>175</v>
      </c>
      <c r="C162" t="s">
        <v>7</v>
      </c>
      <c r="D162">
        <v>42.3</v>
      </c>
      <c r="E162" s="1">
        <v>6444</v>
      </c>
      <c r="F162" s="1">
        <f t="shared" si="11"/>
        <v>272581.19999999995</v>
      </c>
      <c r="G162">
        <f>+VLOOKUP(B162,'producto terminado'!B:D,3,)</f>
        <v>0.9</v>
      </c>
      <c r="H162">
        <f t="shared" si="9"/>
        <v>43.199999999999996</v>
      </c>
      <c r="I162" s="4">
        <f t="shared" si="10"/>
        <v>278380.79999999999</v>
      </c>
    </row>
    <row r="163" spans="1:9" x14ac:dyDescent="0.35">
      <c r="A163" t="s">
        <v>110</v>
      </c>
      <c r="B163" t="s">
        <v>190</v>
      </c>
      <c r="C163" t="s">
        <v>7</v>
      </c>
      <c r="D163">
        <v>1</v>
      </c>
      <c r="E163" s="1">
        <v>2790</v>
      </c>
      <c r="F163" s="1">
        <f t="shared" si="11"/>
        <v>2790</v>
      </c>
      <c r="G163">
        <f>+VLOOKUP(B163,'producto terminado'!B:D,3,)</f>
        <v>0.5</v>
      </c>
      <c r="H163">
        <f t="shared" si="9"/>
        <v>1.5</v>
      </c>
      <c r="I163" s="4">
        <f t="shared" si="10"/>
        <v>4185</v>
      </c>
    </row>
    <row r="164" spans="1:9" x14ac:dyDescent="0.35">
      <c r="A164" t="s">
        <v>110</v>
      </c>
      <c r="B164" t="s">
        <v>111</v>
      </c>
      <c r="C164" t="s">
        <v>4</v>
      </c>
      <c r="D164">
        <v>277</v>
      </c>
      <c r="E164" s="1">
        <v>195</v>
      </c>
      <c r="F164" s="1">
        <f t="shared" si="11"/>
        <v>54015</v>
      </c>
      <c r="G164">
        <f>+VLOOKUP(B164,'producto terminado'!B:D,3,)</f>
        <v>42</v>
      </c>
      <c r="H164">
        <f t="shared" si="9"/>
        <v>319</v>
      </c>
      <c r="I164" s="4">
        <f t="shared" si="10"/>
        <v>62205</v>
      </c>
    </row>
    <row r="165" spans="1:9" x14ac:dyDescent="0.35">
      <c r="A165" t="s">
        <v>110</v>
      </c>
      <c r="B165" t="s">
        <v>195</v>
      </c>
      <c r="C165" t="s">
        <v>7</v>
      </c>
      <c r="D165">
        <v>0.5</v>
      </c>
      <c r="F165" s="1">
        <f t="shared" si="11"/>
        <v>0</v>
      </c>
      <c r="G165">
        <f>+VLOOKUP(B165,'producto terminado'!B:D,3,)</f>
        <v>0</v>
      </c>
      <c r="H165">
        <f t="shared" si="9"/>
        <v>0.5</v>
      </c>
      <c r="I165" s="4">
        <f t="shared" si="10"/>
        <v>0</v>
      </c>
    </row>
    <row r="166" spans="1:9" x14ac:dyDescent="0.35">
      <c r="A166" t="s">
        <v>110</v>
      </c>
      <c r="B166" t="s">
        <v>197</v>
      </c>
      <c r="C166" t="s">
        <v>7</v>
      </c>
      <c r="D166">
        <v>0</v>
      </c>
      <c r="F166" s="1">
        <f t="shared" si="11"/>
        <v>0</v>
      </c>
      <c r="G166">
        <f>+VLOOKUP(B166,'producto terminado'!B:D,3,)</f>
        <v>0</v>
      </c>
      <c r="H166">
        <f t="shared" si="9"/>
        <v>0</v>
      </c>
      <c r="I166" s="4">
        <f t="shared" si="10"/>
        <v>0</v>
      </c>
    </row>
    <row r="167" spans="1:9" x14ac:dyDescent="0.35">
      <c r="A167" t="s">
        <v>110</v>
      </c>
      <c r="B167" t="s">
        <v>184</v>
      </c>
      <c r="C167" t="s">
        <v>7</v>
      </c>
      <c r="D167">
        <v>0</v>
      </c>
      <c r="F167" s="1">
        <f t="shared" si="11"/>
        <v>0</v>
      </c>
      <c r="G167">
        <f>+VLOOKUP(B167,'producto terminado'!B:D,3,)</f>
        <v>0</v>
      </c>
      <c r="H167">
        <f t="shared" si="9"/>
        <v>0</v>
      </c>
      <c r="I167" s="4">
        <f t="shared" si="10"/>
        <v>0</v>
      </c>
    </row>
    <row r="168" spans="1:9" x14ac:dyDescent="0.35">
      <c r="A168" t="s">
        <v>110</v>
      </c>
      <c r="B168" t="s">
        <v>192</v>
      </c>
      <c r="C168" t="s">
        <v>7</v>
      </c>
      <c r="D168">
        <v>2</v>
      </c>
      <c r="F168" s="1">
        <f t="shared" si="11"/>
        <v>0</v>
      </c>
      <c r="G168">
        <f>+VLOOKUP(B168,'producto terminado'!B:D,3,)</f>
        <v>0</v>
      </c>
      <c r="H168">
        <f t="shared" si="9"/>
        <v>2</v>
      </c>
      <c r="I168" s="4">
        <f t="shared" si="10"/>
        <v>0</v>
      </c>
    </row>
    <row r="169" spans="1:9" x14ac:dyDescent="0.35">
      <c r="A169" t="s">
        <v>110</v>
      </c>
      <c r="B169" t="s">
        <v>180</v>
      </c>
      <c r="C169" t="s">
        <v>4</v>
      </c>
      <c r="D169">
        <v>3</v>
      </c>
      <c r="F169" s="1">
        <f t="shared" si="11"/>
        <v>0</v>
      </c>
      <c r="G169">
        <f>+VLOOKUP(B169,'producto terminado'!B:D,3,)</f>
        <v>0</v>
      </c>
      <c r="H169">
        <f t="shared" si="9"/>
        <v>3</v>
      </c>
      <c r="I169" s="4">
        <f t="shared" si="10"/>
        <v>0</v>
      </c>
    </row>
    <row r="170" spans="1:9" x14ac:dyDescent="0.35">
      <c r="A170" t="s">
        <v>110</v>
      </c>
      <c r="B170" t="s">
        <v>201</v>
      </c>
      <c r="C170" t="s">
        <v>7</v>
      </c>
      <c r="D170">
        <v>0</v>
      </c>
      <c r="F170" s="1">
        <f t="shared" si="11"/>
        <v>0</v>
      </c>
      <c r="G170">
        <f>+VLOOKUP(B170,'producto terminado'!B:D,3,)</f>
        <v>6.6550000000000002</v>
      </c>
      <c r="H170">
        <f t="shared" si="9"/>
        <v>6.6550000000000002</v>
      </c>
      <c r="I170" s="4">
        <f t="shared" si="10"/>
        <v>0</v>
      </c>
    </row>
    <row r="171" spans="1:9" x14ac:dyDescent="0.35">
      <c r="A171" t="s">
        <v>110</v>
      </c>
      <c r="B171" t="s">
        <v>193</v>
      </c>
      <c r="C171" t="s">
        <v>7</v>
      </c>
      <c r="D171">
        <v>6.5</v>
      </c>
      <c r="F171" s="1">
        <f t="shared" si="11"/>
        <v>0</v>
      </c>
      <c r="G171">
        <f>+VLOOKUP(B171,'producto terminado'!B:D,3,)</f>
        <v>0</v>
      </c>
      <c r="H171">
        <f t="shared" si="9"/>
        <v>6.5</v>
      </c>
      <c r="I171" s="4">
        <f t="shared" si="10"/>
        <v>0</v>
      </c>
    </row>
    <row r="172" spans="1:9" x14ac:dyDescent="0.35">
      <c r="A172" t="s">
        <v>110</v>
      </c>
      <c r="B172" t="s">
        <v>199</v>
      </c>
      <c r="C172" t="s">
        <v>7</v>
      </c>
      <c r="D172">
        <v>0</v>
      </c>
      <c r="F172" s="1">
        <f t="shared" si="11"/>
        <v>0</v>
      </c>
      <c r="G172">
        <f>+VLOOKUP(B172,'producto terminado'!B:D,3,)</f>
        <v>0</v>
      </c>
      <c r="H172">
        <f t="shared" si="9"/>
        <v>0</v>
      </c>
      <c r="I172" s="4">
        <f t="shared" si="10"/>
        <v>0</v>
      </c>
    </row>
    <row r="173" spans="1:9" x14ac:dyDescent="0.35">
      <c r="A173" t="s">
        <v>110</v>
      </c>
      <c r="B173" t="s">
        <v>189</v>
      </c>
      <c r="C173" t="s">
        <v>7</v>
      </c>
      <c r="D173">
        <v>0</v>
      </c>
      <c r="F173" s="1">
        <f t="shared" si="11"/>
        <v>0</v>
      </c>
      <c r="G173">
        <f>+VLOOKUP(B173,'producto terminado'!B:D,3,)</f>
        <v>0</v>
      </c>
      <c r="H173">
        <f t="shared" si="9"/>
        <v>0</v>
      </c>
      <c r="I173" s="4">
        <f t="shared" si="10"/>
        <v>0</v>
      </c>
    </row>
    <row r="174" spans="1:9" x14ac:dyDescent="0.35">
      <c r="A174" t="s">
        <v>110</v>
      </c>
      <c r="B174" t="s">
        <v>191</v>
      </c>
      <c r="C174" t="s">
        <v>7</v>
      </c>
      <c r="D174">
        <v>10</v>
      </c>
      <c r="F174" s="1">
        <f t="shared" si="11"/>
        <v>0</v>
      </c>
      <c r="G174">
        <f>+VLOOKUP(B174,'producto terminado'!B:D,3,)</f>
        <v>0</v>
      </c>
      <c r="H174">
        <f t="shared" si="9"/>
        <v>10</v>
      </c>
      <c r="I174" s="4">
        <f t="shared" si="10"/>
        <v>0</v>
      </c>
    </row>
    <row r="175" spans="1:9" x14ac:dyDescent="0.35">
      <c r="A175" t="s">
        <v>110</v>
      </c>
      <c r="B175" t="s">
        <v>241</v>
      </c>
      <c r="C175" t="s">
        <v>7</v>
      </c>
      <c r="D175">
        <v>5.4</v>
      </c>
      <c r="F175" s="1">
        <f t="shared" si="11"/>
        <v>0</v>
      </c>
      <c r="G175">
        <v>0</v>
      </c>
      <c r="H175">
        <f t="shared" si="9"/>
        <v>5.4</v>
      </c>
      <c r="I175" s="4">
        <f t="shared" si="10"/>
        <v>0</v>
      </c>
    </row>
    <row r="176" spans="1:9" x14ac:dyDescent="0.35">
      <c r="A176" t="s">
        <v>110</v>
      </c>
      <c r="B176" t="s">
        <v>182</v>
      </c>
      <c r="C176" t="s">
        <v>7</v>
      </c>
      <c r="D176">
        <v>15.35</v>
      </c>
      <c r="F176" s="1">
        <f t="shared" ref="F176:F207" si="12">+E176*D176</f>
        <v>0</v>
      </c>
      <c r="G176">
        <f>+VLOOKUP(B176,'producto terminado'!B:D,3,)</f>
        <v>0</v>
      </c>
      <c r="H176">
        <f t="shared" si="9"/>
        <v>15.35</v>
      </c>
      <c r="I176" s="4">
        <f t="shared" si="10"/>
        <v>0</v>
      </c>
    </row>
    <row r="177" spans="1:9" x14ac:dyDescent="0.35">
      <c r="A177" t="s">
        <v>110</v>
      </c>
      <c r="B177" t="s">
        <v>194</v>
      </c>
      <c r="C177" t="s">
        <v>7</v>
      </c>
      <c r="D177">
        <v>16.66</v>
      </c>
      <c r="F177" s="1">
        <f t="shared" si="12"/>
        <v>0</v>
      </c>
      <c r="G177">
        <f>+VLOOKUP(B177,'producto terminado'!B:D,3,)</f>
        <v>0</v>
      </c>
      <c r="H177">
        <f t="shared" si="9"/>
        <v>16.66</v>
      </c>
      <c r="I177" s="4">
        <f t="shared" si="10"/>
        <v>0</v>
      </c>
    </row>
    <row r="178" spans="1:9" x14ac:dyDescent="0.35">
      <c r="A178" t="s">
        <v>110</v>
      </c>
      <c r="B178" t="s">
        <v>177</v>
      </c>
      <c r="C178" t="s">
        <v>7</v>
      </c>
      <c r="D178">
        <v>12.36</v>
      </c>
      <c r="F178" s="1">
        <f t="shared" si="12"/>
        <v>0</v>
      </c>
      <c r="G178">
        <f>+VLOOKUP(B178,'producto terminado'!B:D,3,)</f>
        <v>0</v>
      </c>
      <c r="H178">
        <f t="shared" si="9"/>
        <v>12.36</v>
      </c>
      <c r="I178" s="4">
        <f t="shared" si="10"/>
        <v>0</v>
      </c>
    </row>
    <row r="179" spans="1:9" x14ac:dyDescent="0.35">
      <c r="A179" t="s">
        <v>122</v>
      </c>
      <c r="B179" t="s">
        <v>136</v>
      </c>
      <c r="C179" t="s">
        <v>131</v>
      </c>
      <c r="D179">
        <v>0</v>
      </c>
      <c r="E179" s="1">
        <v>12000</v>
      </c>
      <c r="F179" s="1">
        <f t="shared" si="12"/>
        <v>0</v>
      </c>
      <c r="G179">
        <f>+VLOOKUP(B179,'producto terminado'!B:D,3,)</f>
        <v>0</v>
      </c>
      <c r="H179">
        <f t="shared" si="9"/>
        <v>0</v>
      </c>
      <c r="I179" s="4">
        <f t="shared" si="10"/>
        <v>0</v>
      </c>
    </row>
    <row r="180" spans="1:9" x14ac:dyDescent="0.35">
      <c r="A180" t="s">
        <v>122</v>
      </c>
      <c r="B180" t="s">
        <v>150</v>
      </c>
      <c r="C180" t="s">
        <v>7</v>
      </c>
      <c r="D180">
        <v>1.5</v>
      </c>
      <c r="E180" s="1">
        <v>7500</v>
      </c>
      <c r="F180" s="1">
        <f t="shared" si="12"/>
        <v>11250</v>
      </c>
      <c r="G180">
        <f>+VLOOKUP(B180,'producto terminado'!B:D,3,)</f>
        <v>0</v>
      </c>
      <c r="H180">
        <f t="shared" si="9"/>
        <v>1.5</v>
      </c>
      <c r="I180" s="4">
        <f t="shared" si="10"/>
        <v>11250</v>
      </c>
    </row>
    <row r="181" spans="1:9" x14ac:dyDescent="0.35">
      <c r="A181" t="s">
        <v>122</v>
      </c>
      <c r="B181" t="s">
        <v>138</v>
      </c>
      <c r="C181" t="s">
        <v>7</v>
      </c>
      <c r="D181">
        <v>0.28999999999999998</v>
      </c>
      <c r="E181" s="1">
        <v>7000</v>
      </c>
      <c r="F181" s="1">
        <f t="shared" si="12"/>
        <v>2029.9999999999998</v>
      </c>
      <c r="G181">
        <f>+VLOOKUP(B181,'producto terminado'!B:D,3,)</f>
        <v>0.6</v>
      </c>
      <c r="H181">
        <f t="shared" si="9"/>
        <v>0.8899999999999999</v>
      </c>
      <c r="I181" s="4">
        <f t="shared" si="10"/>
        <v>6229.9999999999991</v>
      </c>
    </row>
    <row r="182" spans="1:9" x14ac:dyDescent="0.35">
      <c r="A182" t="s">
        <v>122</v>
      </c>
      <c r="B182" t="s">
        <v>133</v>
      </c>
      <c r="C182" t="s">
        <v>131</v>
      </c>
      <c r="D182">
        <v>0.8</v>
      </c>
      <c r="E182" s="1">
        <v>6500</v>
      </c>
      <c r="F182" s="1">
        <f t="shared" si="12"/>
        <v>5200</v>
      </c>
      <c r="G182">
        <f>+VLOOKUP(B182,'producto terminado'!B:D,3,)</f>
        <v>0</v>
      </c>
      <c r="H182">
        <f t="shared" si="9"/>
        <v>0.8</v>
      </c>
      <c r="I182" s="4">
        <f t="shared" si="10"/>
        <v>5200</v>
      </c>
    </row>
    <row r="183" spans="1:9" x14ac:dyDescent="0.35">
      <c r="A183" t="s">
        <v>122</v>
      </c>
      <c r="B183" t="s">
        <v>144</v>
      </c>
      <c r="C183" t="s">
        <v>7</v>
      </c>
      <c r="D183">
        <v>2.09</v>
      </c>
      <c r="E183" s="1">
        <v>4990</v>
      </c>
      <c r="F183" s="1">
        <f t="shared" si="12"/>
        <v>10429.099999999999</v>
      </c>
      <c r="G183">
        <f>+VLOOKUP(B183,'producto terminado'!B:D,3,)</f>
        <v>0</v>
      </c>
      <c r="H183">
        <f t="shared" si="9"/>
        <v>2.09</v>
      </c>
      <c r="I183" s="4">
        <f t="shared" si="10"/>
        <v>10429.099999999999</v>
      </c>
    </row>
    <row r="184" spans="1:9" x14ac:dyDescent="0.35">
      <c r="A184" t="s">
        <v>122</v>
      </c>
      <c r="B184" t="s">
        <v>129</v>
      </c>
      <c r="C184" t="s">
        <v>7</v>
      </c>
      <c r="D184">
        <v>0</v>
      </c>
      <c r="E184" s="1">
        <v>4000</v>
      </c>
      <c r="F184" s="1">
        <f t="shared" si="12"/>
        <v>0</v>
      </c>
      <c r="G184">
        <f>+VLOOKUP(B184,'producto terminado'!B:D,3,)</f>
        <v>0</v>
      </c>
      <c r="H184">
        <f t="shared" si="9"/>
        <v>0</v>
      </c>
      <c r="I184" s="4">
        <f t="shared" si="10"/>
        <v>0</v>
      </c>
    </row>
    <row r="185" spans="1:9" x14ac:dyDescent="0.35">
      <c r="A185" t="s">
        <v>122</v>
      </c>
      <c r="B185" t="s">
        <v>124</v>
      </c>
      <c r="C185" t="s">
        <v>7</v>
      </c>
      <c r="D185">
        <v>0</v>
      </c>
      <c r="E185" s="1">
        <v>4000</v>
      </c>
      <c r="F185" s="1">
        <f t="shared" si="12"/>
        <v>0</v>
      </c>
      <c r="G185">
        <f>+VLOOKUP(B185,'producto terminado'!B:D,3,)</f>
        <v>0</v>
      </c>
      <c r="H185">
        <f t="shared" si="9"/>
        <v>0</v>
      </c>
      <c r="I185" s="4">
        <f t="shared" si="10"/>
        <v>0</v>
      </c>
    </row>
    <row r="186" spans="1:9" x14ac:dyDescent="0.35">
      <c r="A186" t="s">
        <v>122</v>
      </c>
      <c r="B186" t="s">
        <v>155</v>
      </c>
      <c r="C186" t="s">
        <v>7</v>
      </c>
      <c r="D186">
        <v>0</v>
      </c>
      <c r="E186" s="1">
        <v>3500</v>
      </c>
      <c r="F186" s="1">
        <f t="shared" si="12"/>
        <v>0</v>
      </c>
      <c r="G186">
        <f>+VLOOKUP(B186,'producto terminado'!B:D,3,)</f>
        <v>0</v>
      </c>
      <c r="H186">
        <f t="shared" si="9"/>
        <v>0</v>
      </c>
      <c r="I186" s="4">
        <f t="shared" si="10"/>
        <v>0</v>
      </c>
    </row>
    <row r="187" spans="1:9" x14ac:dyDescent="0.35">
      <c r="A187" t="s">
        <v>122</v>
      </c>
      <c r="B187" t="s">
        <v>134</v>
      </c>
      <c r="C187" t="s">
        <v>131</v>
      </c>
      <c r="D187">
        <v>0</v>
      </c>
      <c r="E187" s="1">
        <v>3500</v>
      </c>
      <c r="F187" s="1">
        <f t="shared" si="12"/>
        <v>0</v>
      </c>
      <c r="G187">
        <f>+VLOOKUP(B187,'producto terminado'!B:D,3,)</f>
        <v>0</v>
      </c>
      <c r="H187">
        <f t="shared" si="9"/>
        <v>0</v>
      </c>
      <c r="I187" s="4">
        <f t="shared" si="10"/>
        <v>0</v>
      </c>
    </row>
    <row r="188" spans="1:9" x14ac:dyDescent="0.35">
      <c r="A188" t="s">
        <v>122</v>
      </c>
      <c r="B188" t="s">
        <v>130</v>
      </c>
      <c r="C188" t="s">
        <v>131</v>
      </c>
      <c r="D188">
        <v>2</v>
      </c>
      <c r="E188" s="1">
        <v>3000</v>
      </c>
      <c r="F188" s="1">
        <f t="shared" si="12"/>
        <v>6000</v>
      </c>
      <c r="G188">
        <f>+VLOOKUP(B188,'producto terminado'!B:D,3,)</f>
        <v>0</v>
      </c>
      <c r="H188">
        <f t="shared" si="9"/>
        <v>2</v>
      </c>
      <c r="I188" s="4">
        <f t="shared" si="10"/>
        <v>6000</v>
      </c>
    </row>
    <row r="189" spans="1:9" x14ac:dyDescent="0.35">
      <c r="A189" t="s">
        <v>122</v>
      </c>
      <c r="B189" t="s">
        <v>135</v>
      </c>
      <c r="C189" t="s">
        <v>131</v>
      </c>
      <c r="D189">
        <v>1.1000000000000001</v>
      </c>
      <c r="E189" s="1">
        <v>2500</v>
      </c>
      <c r="F189" s="1">
        <f t="shared" si="12"/>
        <v>2750</v>
      </c>
      <c r="G189">
        <f>+VLOOKUP(B189,'producto terminado'!B:D,3,)</f>
        <v>0</v>
      </c>
      <c r="H189">
        <f t="shared" si="9"/>
        <v>1.1000000000000001</v>
      </c>
      <c r="I189" s="4">
        <f t="shared" si="10"/>
        <v>2750</v>
      </c>
    </row>
    <row r="190" spans="1:9" x14ac:dyDescent="0.35">
      <c r="A190" t="s">
        <v>122</v>
      </c>
      <c r="B190" t="s">
        <v>139</v>
      </c>
      <c r="C190" t="s">
        <v>7</v>
      </c>
      <c r="D190">
        <v>1.8660000000000001</v>
      </c>
      <c r="E190" s="1">
        <v>2200</v>
      </c>
      <c r="F190" s="1">
        <f t="shared" si="12"/>
        <v>4105.2</v>
      </c>
      <c r="G190">
        <f>+VLOOKUP(B190,'producto terminado'!B:D,3,)</f>
        <v>0</v>
      </c>
      <c r="H190">
        <f t="shared" si="9"/>
        <v>1.8660000000000001</v>
      </c>
      <c r="I190" s="4">
        <f t="shared" si="10"/>
        <v>4105.2</v>
      </c>
    </row>
    <row r="191" spans="1:9" x14ac:dyDescent="0.35">
      <c r="A191" t="s">
        <v>122</v>
      </c>
      <c r="B191" t="s">
        <v>126</v>
      </c>
      <c r="C191" t="s">
        <v>4</v>
      </c>
      <c r="D191">
        <v>0.8</v>
      </c>
      <c r="E191" s="1">
        <v>2000</v>
      </c>
      <c r="F191" s="1">
        <f t="shared" si="12"/>
        <v>1600</v>
      </c>
      <c r="G191">
        <f>+VLOOKUP(B191,'producto terminado'!B:D,3,)</f>
        <v>0</v>
      </c>
      <c r="H191">
        <f t="shared" si="9"/>
        <v>0.8</v>
      </c>
      <c r="I191" s="4">
        <f t="shared" si="10"/>
        <v>1600</v>
      </c>
    </row>
    <row r="192" spans="1:9" x14ac:dyDescent="0.35">
      <c r="A192" t="s">
        <v>122</v>
      </c>
      <c r="B192" t="s">
        <v>168</v>
      </c>
      <c r="C192" t="s">
        <v>7</v>
      </c>
      <c r="D192">
        <v>9.6</v>
      </c>
      <c r="E192" s="1">
        <v>1700</v>
      </c>
      <c r="F192" s="1">
        <f t="shared" si="12"/>
        <v>16320</v>
      </c>
      <c r="G192">
        <f>+VLOOKUP(B192,'producto terminado'!B:D,3,)</f>
        <v>0</v>
      </c>
      <c r="H192">
        <f t="shared" si="9"/>
        <v>9.6</v>
      </c>
      <c r="I192" s="4">
        <f t="shared" si="10"/>
        <v>16320</v>
      </c>
    </row>
    <row r="193" spans="1:9" x14ac:dyDescent="0.35">
      <c r="A193" t="s">
        <v>122</v>
      </c>
      <c r="B193" t="s">
        <v>143</v>
      </c>
      <c r="C193" t="s">
        <v>7</v>
      </c>
      <c r="D193">
        <v>0</v>
      </c>
      <c r="E193" s="1">
        <v>1690</v>
      </c>
      <c r="F193" s="1">
        <f t="shared" si="12"/>
        <v>0</v>
      </c>
      <c r="G193">
        <f>+VLOOKUP(B193,'producto terminado'!B:D,3,)</f>
        <v>0</v>
      </c>
      <c r="H193">
        <f t="shared" si="9"/>
        <v>0</v>
      </c>
      <c r="I193" s="4">
        <f t="shared" si="10"/>
        <v>0</v>
      </c>
    </row>
    <row r="194" spans="1:9" x14ac:dyDescent="0.35">
      <c r="A194" t="s">
        <v>122</v>
      </c>
      <c r="B194" t="s">
        <v>145</v>
      </c>
      <c r="C194" t="s">
        <v>131</v>
      </c>
      <c r="D194">
        <v>0</v>
      </c>
      <c r="E194" s="1">
        <v>1500</v>
      </c>
      <c r="F194" s="1">
        <f t="shared" si="12"/>
        <v>0</v>
      </c>
      <c r="G194">
        <f>+VLOOKUP(B194,'producto terminado'!B:D,3,)</f>
        <v>0</v>
      </c>
      <c r="H194">
        <f t="shared" si="9"/>
        <v>0</v>
      </c>
      <c r="I194" s="4">
        <f t="shared" si="10"/>
        <v>0</v>
      </c>
    </row>
    <row r="195" spans="1:9" x14ac:dyDescent="0.35">
      <c r="A195" t="s">
        <v>122</v>
      </c>
      <c r="B195" t="s">
        <v>140</v>
      </c>
      <c r="C195" t="s">
        <v>4</v>
      </c>
      <c r="D195">
        <v>2</v>
      </c>
      <c r="E195" s="1">
        <v>1500</v>
      </c>
      <c r="F195" s="1">
        <f t="shared" si="12"/>
        <v>3000</v>
      </c>
      <c r="G195">
        <f>+VLOOKUP(B195,'producto terminado'!B:D,3,)</f>
        <v>0</v>
      </c>
      <c r="H195">
        <f t="shared" ref="H195:H228" si="13">+G195+D195</f>
        <v>2</v>
      </c>
      <c r="I195" s="4">
        <f t="shared" ref="I195:I228" si="14">+H195*E195</f>
        <v>3000</v>
      </c>
    </row>
    <row r="196" spans="1:9" x14ac:dyDescent="0.35">
      <c r="A196" t="s">
        <v>122</v>
      </c>
      <c r="B196" t="s">
        <v>163</v>
      </c>
      <c r="C196" t="s">
        <v>4</v>
      </c>
      <c r="D196">
        <v>10</v>
      </c>
      <c r="E196" s="1">
        <v>1100</v>
      </c>
      <c r="F196" s="1">
        <f t="shared" si="12"/>
        <v>11000</v>
      </c>
      <c r="G196">
        <f>+VLOOKUP(B196,'producto terminado'!B:D,3,)</f>
        <v>0</v>
      </c>
      <c r="H196">
        <f t="shared" si="13"/>
        <v>10</v>
      </c>
      <c r="I196" s="4">
        <f t="shared" si="14"/>
        <v>11000</v>
      </c>
    </row>
    <row r="197" spans="1:9" x14ac:dyDescent="0.35">
      <c r="A197" t="s">
        <v>122</v>
      </c>
      <c r="B197" t="s">
        <v>156</v>
      </c>
      <c r="C197" t="s">
        <v>4</v>
      </c>
      <c r="D197">
        <v>38</v>
      </c>
      <c r="E197" s="1">
        <v>1000</v>
      </c>
      <c r="F197" s="1">
        <f t="shared" si="12"/>
        <v>38000</v>
      </c>
      <c r="G197">
        <f>+VLOOKUP(B197,'producto terminado'!B:D,3,)</f>
        <v>0</v>
      </c>
      <c r="H197">
        <f t="shared" si="13"/>
        <v>38</v>
      </c>
      <c r="I197" s="4">
        <f t="shared" si="14"/>
        <v>38000</v>
      </c>
    </row>
    <row r="198" spans="1:9" x14ac:dyDescent="0.35">
      <c r="A198" t="s">
        <v>122</v>
      </c>
      <c r="B198" t="s">
        <v>132</v>
      </c>
      <c r="C198" t="s">
        <v>131</v>
      </c>
      <c r="D198">
        <v>1</v>
      </c>
      <c r="E198" s="1">
        <v>1000</v>
      </c>
      <c r="F198" s="1">
        <f t="shared" si="12"/>
        <v>1000</v>
      </c>
      <c r="G198">
        <f>+VLOOKUP(B198,'producto terminado'!B:D,3,)</f>
        <v>0</v>
      </c>
      <c r="H198">
        <f t="shared" si="13"/>
        <v>1</v>
      </c>
      <c r="I198" s="4">
        <f t="shared" si="14"/>
        <v>1000</v>
      </c>
    </row>
    <row r="199" spans="1:9" x14ac:dyDescent="0.35">
      <c r="A199" t="s">
        <v>122</v>
      </c>
      <c r="B199" t="s">
        <v>167</v>
      </c>
      <c r="C199" t="s">
        <v>7</v>
      </c>
      <c r="D199">
        <v>16.96</v>
      </c>
      <c r="E199" s="1">
        <v>913</v>
      </c>
      <c r="F199" s="1">
        <f t="shared" si="12"/>
        <v>15484.480000000001</v>
      </c>
      <c r="G199">
        <f>+VLOOKUP(B199,'producto terminado'!B:D,3,)</f>
        <v>0</v>
      </c>
      <c r="H199">
        <f t="shared" si="13"/>
        <v>16.96</v>
      </c>
      <c r="I199" s="4">
        <f t="shared" si="14"/>
        <v>15484.480000000001</v>
      </c>
    </row>
    <row r="200" spans="1:9" x14ac:dyDescent="0.35">
      <c r="A200" t="s">
        <v>122</v>
      </c>
      <c r="B200" t="s">
        <v>165</v>
      </c>
      <c r="C200" t="s">
        <v>4</v>
      </c>
      <c r="D200">
        <v>43</v>
      </c>
      <c r="E200" s="1">
        <v>900</v>
      </c>
      <c r="F200" s="1">
        <f t="shared" si="12"/>
        <v>38700</v>
      </c>
      <c r="G200">
        <f>+VLOOKUP(B200,'producto terminado'!B:D,3,)</f>
        <v>0</v>
      </c>
      <c r="H200">
        <f t="shared" si="13"/>
        <v>43</v>
      </c>
      <c r="I200" s="4">
        <f t="shared" si="14"/>
        <v>38700</v>
      </c>
    </row>
    <row r="201" spans="1:9" x14ac:dyDescent="0.35">
      <c r="A201" t="s">
        <v>122</v>
      </c>
      <c r="B201" t="s">
        <v>169</v>
      </c>
      <c r="C201" t="s">
        <v>7</v>
      </c>
      <c r="D201">
        <v>23.42</v>
      </c>
      <c r="E201" s="1">
        <v>800</v>
      </c>
      <c r="F201" s="1">
        <f t="shared" si="12"/>
        <v>18736</v>
      </c>
      <c r="G201">
        <f>+VLOOKUP(B201,'producto terminado'!B:D,3,)</f>
        <v>0</v>
      </c>
      <c r="H201">
        <f t="shared" si="13"/>
        <v>23.42</v>
      </c>
      <c r="I201" s="4">
        <f t="shared" si="14"/>
        <v>18736</v>
      </c>
    </row>
    <row r="202" spans="1:9" x14ac:dyDescent="0.35">
      <c r="A202" t="s">
        <v>122</v>
      </c>
      <c r="B202" t="s">
        <v>146</v>
      </c>
      <c r="C202" t="s">
        <v>7</v>
      </c>
      <c r="D202">
        <v>2.54</v>
      </c>
      <c r="E202" s="1">
        <v>750</v>
      </c>
      <c r="F202" s="1">
        <f t="shared" si="12"/>
        <v>1905</v>
      </c>
      <c r="G202">
        <f>+VLOOKUP(B202,'producto terminado'!B:D,3,)</f>
        <v>0</v>
      </c>
      <c r="H202">
        <f t="shared" si="13"/>
        <v>2.54</v>
      </c>
      <c r="I202" s="4">
        <f t="shared" si="14"/>
        <v>1905</v>
      </c>
    </row>
    <row r="203" spans="1:9" x14ac:dyDescent="0.35">
      <c r="A203" t="s">
        <v>122</v>
      </c>
      <c r="B203" t="s">
        <v>161</v>
      </c>
      <c r="C203" t="s">
        <v>7</v>
      </c>
      <c r="D203">
        <v>0</v>
      </c>
      <c r="E203" s="1">
        <v>639</v>
      </c>
      <c r="F203" s="1">
        <f t="shared" si="12"/>
        <v>0</v>
      </c>
      <c r="G203">
        <f>+VLOOKUP(B203,'producto terminado'!B:D,3,)</f>
        <v>4</v>
      </c>
      <c r="H203">
        <f t="shared" si="13"/>
        <v>4</v>
      </c>
      <c r="I203" s="4">
        <f t="shared" si="14"/>
        <v>2556</v>
      </c>
    </row>
    <row r="204" spans="1:9" x14ac:dyDescent="0.35">
      <c r="A204" t="s">
        <v>122</v>
      </c>
      <c r="B204" t="s">
        <v>166</v>
      </c>
      <c r="C204" t="s">
        <v>4</v>
      </c>
      <c r="D204">
        <v>10</v>
      </c>
      <c r="E204" s="1">
        <v>600</v>
      </c>
      <c r="F204" s="1">
        <f t="shared" si="12"/>
        <v>6000</v>
      </c>
      <c r="G204">
        <f>+VLOOKUP(B204,'producto terminado'!B:D,3,)</f>
        <v>0</v>
      </c>
      <c r="H204">
        <f t="shared" si="13"/>
        <v>10</v>
      </c>
      <c r="I204" s="4">
        <f t="shared" si="14"/>
        <v>6000</v>
      </c>
    </row>
    <row r="205" spans="1:9" x14ac:dyDescent="0.35">
      <c r="A205" t="s">
        <v>122</v>
      </c>
      <c r="B205" t="s">
        <v>151</v>
      </c>
      <c r="C205" t="s">
        <v>4</v>
      </c>
      <c r="D205">
        <v>7</v>
      </c>
      <c r="E205" s="1">
        <v>600</v>
      </c>
      <c r="F205" s="1">
        <f t="shared" si="12"/>
        <v>4200</v>
      </c>
      <c r="G205">
        <f>+VLOOKUP(B205,'producto terminado'!B:D,3,)</f>
        <v>0</v>
      </c>
      <c r="H205">
        <f t="shared" si="13"/>
        <v>7</v>
      </c>
      <c r="I205" s="4">
        <f t="shared" si="14"/>
        <v>4200</v>
      </c>
    </row>
    <row r="206" spans="1:9" x14ac:dyDescent="0.35">
      <c r="A206" t="s">
        <v>122</v>
      </c>
      <c r="B206" t="s">
        <v>162</v>
      </c>
      <c r="C206" t="s">
        <v>4</v>
      </c>
      <c r="D206">
        <v>8</v>
      </c>
      <c r="E206" s="1">
        <v>600</v>
      </c>
      <c r="F206" s="1">
        <f t="shared" si="12"/>
        <v>4800</v>
      </c>
      <c r="G206">
        <f>+VLOOKUP(B206,'producto terminado'!B:D,3,)</f>
        <v>0</v>
      </c>
      <c r="H206">
        <f t="shared" si="13"/>
        <v>8</v>
      </c>
      <c r="I206" s="4">
        <f t="shared" si="14"/>
        <v>4800</v>
      </c>
    </row>
    <row r="207" spans="1:9" x14ac:dyDescent="0.35">
      <c r="A207" t="s">
        <v>122</v>
      </c>
      <c r="B207" t="s">
        <v>159</v>
      </c>
      <c r="C207" t="s">
        <v>4</v>
      </c>
      <c r="D207">
        <v>0</v>
      </c>
      <c r="E207" s="1">
        <v>550</v>
      </c>
      <c r="F207" s="1">
        <f t="shared" si="12"/>
        <v>0</v>
      </c>
      <c r="G207">
        <f>+VLOOKUP(B207,'producto terminado'!B:D,3,)</f>
        <v>0</v>
      </c>
      <c r="H207">
        <f t="shared" si="13"/>
        <v>0</v>
      </c>
      <c r="I207" s="4">
        <f t="shared" si="14"/>
        <v>0</v>
      </c>
    </row>
    <row r="208" spans="1:9" x14ac:dyDescent="0.35">
      <c r="A208" t="s">
        <v>122</v>
      </c>
      <c r="B208" t="s">
        <v>170</v>
      </c>
      <c r="C208" t="s">
        <v>4</v>
      </c>
      <c r="D208">
        <v>0</v>
      </c>
      <c r="E208" s="1">
        <v>500</v>
      </c>
      <c r="F208" s="1">
        <f t="shared" ref="F208:F211" si="15">+E208*D208</f>
        <v>0</v>
      </c>
      <c r="G208">
        <f>+VLOOKUP(B208,'producto terminado'!B:D,3,)</f>
        <v>5</v>
      </c>
      <c r="H208">
        <f t="shared" si="13"/>
        <v>5</v>
      </c>
      <c r="I208" s="4">
        <f t="shared" si="14"/>
        <v>2500</v>
      </c>
    </row>
    <row r="209" spans="1:9" x14ac:dyDescent="0.35">
      <c r="A209" t="s">
        <v>122</v>
      </c>
      <c r="B209" t="s">
        <v>171</v>
      </c>
      <c r="C209" t="s">
        <v>4</v>
      </c>
      <c r="D209">
        <v>5</v>
      </c>
      <c r="E209" s="1">
        <v>500</v>
      </c>
      <c r="F209" s="1">
        <f t="shared" si="15"/>
        <v>2500</v>
      </c>
      <c r="G209">
        <f>+VLOOKUP(B209,'producto terminado'!B:D,3,)</f>
        <v>0</v>
      </c>
      <c r="H209">
        <f t="shared" si="13"/>
        <v>5</v>
      </c>
      <c r="I209" s="4">
        <f t="shared" si="14"/>
        <v>2500</v>
      </c>
    </row>
    <row r="210" spans="1:9" x14ac:dyDescent="0.35">
      <c r="A210" t="s">
        <v>3</v>
      </c>
      <c r="B210" t="s">
        <v>234</v>
      </c>
      <c r="C210" t="s">
        <v>5</v>
      </c>
      <c r="D210">
        <v>1</v>
      </c>
      <c r="E210" s="1">
        <v>1630</v>
      </c>
      <c r="F210" s="1">
        <f t="shared" si="15"/>
        <v>1630</v>
      </c>
      <c r="H210">
        <f t="shared" si="13"/>
        <v>1</v>
      </c>
      <c r="I210" s="4">
        <f t="shared" si="14"/>
        <v>1630</v>
      </c>
    </row>
    <row r="211" spans="1:9" x14ac:dyDescent="0.35">
      <c r="A211" t="s">
        <v>6</v>
      </c>
      <c r="B211" t="s">
        <v>235</v>
      </c>
      <c r="C211" t="s">
        <v>7</v>
      </c>
      <c r="D211">
        <v>2</v>
      </c>
      <c r="E211" s="1">
        <v>4000</v>
      </c>
      <c r="F211" s="1">
        <f t="shared" si="15"/>
        <v>8000</v>
      </c>
      <c r="H211">
        <f t="shared" si="13"/>
        <v>2</v>
      </c>
      <c r="I211" s="4">
        <f t="shared" si="14"/>
        <v>8000</v>
      </c>
    </row>
    <row r="212" spans="1:9" x14ac:dyDescent="0.35">
      <c r="A212" t="s">
        <v>123</v>
      </c>
      <c r="B212" t="s">
        <v>236</v>
      </c>
      <c r="C212" t="s">
        <v>7</v>
      </c>
      <c r="D212">
        <v>1</v>
      </c>
      <c r="H212">
        <f t="shared" si="13"/>
        <v>1</v>
      </c>
      <c r="I212" s="4">
        <f t="shared" si="14"/>
        <v>0</v>
      </c>
    </row>
    <row r="213" spans="1:9" x14ac:dyDescent="0.35">
      <c r="A213" t="s">
        <v>110</v>
      </c>
      <c r="B213" t="s">
        <v>237</v>
      </c>
      <c r="C213" t="s">
        <v>7</v>
      </c>
      <c r="D213">
        <v>10</v>
      </c>
      <c r="E213" s="1">
        <v>7490</v>
      </c>
      <c r="H213">
        <f t="shared" si="13"/>
        <v>10</v>
      </c>
      <c r="I213" s="4">
        <f t="shared" si="14"/>
        <v>74900</v>
      </c>
    </row>
    <row r="214" spans="1:9" x14ac:dyDescent="0.35">
      <c r="A214" t="s">
        <v>110</v>
      </c>
      <c r="B214" t="s">
        <v>239</v>
      </c>
      <c r="C214" t="s">
        <v>7</v>
      </c>
      <c r="D214">
        <v>31.17</v>
      </c>
      <c r="E214" s="1">
        <v>12900</v>
      </c>
      <c r="H214">
        <f t="shared" si="13"/>
        <v>31.17</v>
      </c>
      <c r="I214" s="4">
        <f t="shared" si="14"/>
        <v>402093</v>
      </c>
    </row>
    <row r="215" spans="1:9" x14ac:dyDescent="0.35">
      <c r="A215" t="s">
        <v>110</v>
      </c>
      <c r="B215" t="s">
        <v>240</v>
      </c>
      <c r="C215" t="s">
        <v>7</v>
      </c>
      <c r="D215">
        <v>6.1</v>
      </c>
      <c r="E215" s="1">
        <v>4193</v>
      </c>
      <c r="H215">
        <f t="shared" si="13"/>
        <v>6.1</v>
      </c>
      <c r="I215" s="4">
        <f t="shared" si="14"/>
        <v>25577.3</v>
      </c>
    </row>
    <row r="216" spans="1:9" x14ac:dyDescent="0.35">
      <c r="A216" t="s">
        <v>110</v>
      </c>
      <c r="B216" t="s">
        <v>242</v>
      </c>
      <c r="C216" t="s">
        <v>7</v>
      </c>
      <c r="D216">
        <v>50.3</v>
      </c>
      <c r="E216" s="1">
        <v>5637</v>
      </c>
      <c r="H216">
        <f t="shared" si="13"/>
        <v>50.3</v>
      </c>
      <c r="I216" s="4">
        <f t="shared" si="14"/>
        <v>283541.09999999998</v>
      </c>
    </row>
    <row r="217" spans="1:9" x14ac:dyDescent="0.35">
      <c r="A217" t="s">
        <v>244</v>
      </c>
      <c r="B217" t="s">
        <v>252</v>
      </c>
      <c r="C217" t="s">
        <v>4</v>
      </c>
      <c r="D217">
        <v>10</v>
      </c>
      <c r="E217" s="1">
        <v>517</v>
      </c>
      <c r="F217" s="1">
        <f>+E217*D217</f>
        <v>5170</v>
      </c>
      <c r="G217">
        <v>5</v>
      </c>
      <c r="H217">
        <f t="shared" si="13"/>
        <v>15</v>
      </c>
      <c r="I217" s="4">
        <f t="shared" si="14"/>
        <v>7755</v>
      </c>
    </row>
    <row r="218" spans="1:9" x14ac:dyDescent="0.35">
      <c r="A218" t="s">
        <v>244</v>
      </c>
      <c r="B218" t="s">
        <v>253</v>
      </c>
      <c r="C218" t="s">
        <v>4</v>
      </c>
      <c r="D218">
        <v>13</v>
      </c>
      <c r="E218" s="1">
        <v>1471</v>
      </c>
      <c r="F218" s="1">
        <f t="shared" ref="F218:F228" si="16">+E218*D218</f>
        <v>19123</v>
      </c>
      <c r="G218">
        <v>2</v>
      </c>
      <c r="H218">
        <f t="shared" si="13"/>
        <v>15</v>
      </c>
      <c r="I218" s="4">
        <f t="shared" si="14"/>
        <v>22065</v>
      </c>
    </row>
    <row r="219" spans="1:9" x14ac:dyDescent="0.35">
      <c r="A219" t="s">
        <v>244</v>
      </c>
      <c r="B219" t="s">
        <v>254</v>
      </c>
      <c r="C219" t="s">
        <v>4</v>
      </c>
      <c r="D219">
        <v>6</v>
      </c>
      <c r="E219" s="1">
        <v>614</v>
      </c>
      <c r="F219" s="1">
        <f t="shared" si="16"/>
        <v>3684</v>
      </c>
      <c r="G219">
        <v>38</v>
      </c>
      <c r="H219">
        <f t="shared" si="13"/>
        <v>44</v>
      </c>
      <c r="I219" s="4">
        <f t="shared" si="14"/>
        <v>27016</v>
      </c>
    </row>
    <row r="220" spans="1:9" x14ac:dyDescent="0.35">
      <c r="A220" t="s">
        <v>244</v>
      </c>
      <c r="B220" t="s">
        <v>255</v>
      </c>
      <c r="C220" t="s">
        <v>4</v>
      </c>
      <c r="D220">
        <v>16</v>
      </c>
      <c r="E220" s="1">
        <v>1471</v>
      </c>
      <c r="F220" s="1">
        <f t="shared" si="16"/>
        <v>23536</v>
      </c>
      <c r="G220">
        <v>10</v>
      </c>
      <c r="H220">
        <f t="shared" si="13"/>
        <v>26</v>
      </c>
      <c r="I220" s="4">
        <f t="shared" si="14"/>
        <v>38246</v>
      </c>
    </row>
    <row r="221" spans="1:9" x14ac:dyDescent="0.35">
      <c r="A221" t="s">
        <v>244</v>
      </c>
      <c r="B221" t="s">
        <v>256</v>
      </c>
      <c r="C221" t="s">
        <v>4</v>
      </c>
      <c r="D221">
        <v>6</v>
      </c>
      <c r="E221" s="1">
        <v>614</v>
      </c>
      <c r="F221" s="1">
        <f t="shared" si="16"/>
        <v>3684</v>
      </c>
      <c r="G221">
        <v>17</v>
      </c>
      <c r="H221">
        <f t="shared" si="13"/>
        <v>23</v>
      </c>
      <c r="I221" s="4">
        <f t="shared" si="14"/>
        <v>14122</v>
      </c>
    </row>
    <row r="222" spans="1:9" x14ac:dyDescent="0.35">
      <c r="A222" t="s">
        <v>244</v>
      </c>
      <c r="B222" t="s">
        <v>257</v>
      </c>
      <c r="C222" t="s">
        <v>4</v>
      </c>
      <c r="D222">
        <v>19</v>
      </c>
      <c r="E222" s="1">
        <v>517</v>
      </c>
      <c r="F222" s="1">
        <f t="shared" si="16"/>
        <v>9823</v>
      </c>
      <c r="G222">
        <v>32</v>
      </c>
      <c r="H222">
        <f t="shared" si="13"/>
        <v>51</v>
      </c>
      <c r="I222" s="4">
        <f t="shared" si="14"/>
        <v>26367</v>
      </c>
    </row>
    <row r="223" spans="1:9" x14ac:dyDescent="0.35">
      <c r="A223" t="s">
        <v>244</v>
      </c>
      <c r="B223" t="s">
        <v>258</v>
      </c>
      <c r="C223" t="s">
        <v>4</v>
      </c>
      <c r="D223">
        <v>42</v>
      </c>
      <c r="E223" s="1">
        <v>517</v>
      </c>
      <c r="F223" s="1">
        <f t="shared" si="16"/>
        <v>21714</v>
      </c>
      <c r="G223">
        <v>34</v>
      </c>
      <c r="H223">
        <f t="shared" si="13"/>
        <v>76</v>
      </c>
      <c r="I223" s="4">
        <f t="shared" si="14"/>
        <v>39292</v>
      </c>
    </row>
    <row r="224" spans="1:9" x14ac:dyDescent="0.35">
      <c r="A224" t="s">
        <v>3</v>
      </c>
      <c r="B224" t="s">
        <v>262</v>
      </c>
      <c r="C224" t="s">
        <v>4</v>
      </c>
      <c r="D224">
        <v>57</v>
      </c>
      <c r="E224" s="1">
        <v>685</v>
      </c>
      <c r="F224" s="1">
        <f t="shared" si="16"/>
        <v>39045</v>
      </c>
      <c r="H224">
        <f t="shared" si="13"/>
        <v>57</v>
      </c>
      <c r="I224" s="4">
        <f t="shared" si="14"/>
        <v>39045</v>
      </c>
    </row>
    <row r="225" spans="1:9" x14ac:dyDescent="0.35">
      <c r="A225" t="s">
        <v>3</v>
      </c>
      <c r="B225" t="s">
        <v>263</v>
      </c>
      <c r="C225" t="s">
        <v>4</v>
      </c>
      <c r="D225">
        <v>1</v>
      </c>
      <c r="E225" s="1">
        <v>55400</v>
      </c>
      <c r="F225" s="1">
        <f t="shared" si="16"/>
        <v>55400</v>
      </c>
      <c r="H225">
        <f t="shared" si="13"/>
        <v>1</v>
      </c>
      <c r="I225" s="4">
        <f t="shared" si="14"/>
        <v>55400</v>
      </c>
    </row>
    <row r="226" spans="1:9" x14ac:dyDescent="0.35">
      <c r="A226" t="s">
        <v>3</v>
      </c>
      <c r="B226" t="s">
        <v>264</v>
      </c>
      <c r="C226" t="s">
        <v>4</v>
      </c>
      <c r="D226">
        <v>1</v>
      </c>
      <c r="E226" s="1">
        <v>137400</v>
      </c>
      <c r="F226" s="1">
        <f t="shared" si="16"/>
        <v>137400</v>
      </c>
      <c r="H226">
        <f t="shared" si="13"/>
        <v>1</v>
      </c>
      <c r="I226" s="4">
        <f t="shared" si="14"/>
        <v>137400</v>
      </c>
    </row>
    <row r="227" spans="1:9" x14ac:dyDescent="0.35">
      <c r="A227" t="s">
        <v>3</v>
      </c>
      <c r="B227" t="s">
        <v>265</v>
      </c>
      <c r="C227" t="s">
        <v>4</v>
      </c>
      <c r="D227">
        <v>1</v>
      </c>
      <c r="E227" s="1">
        <v>36300</v>
      </c>
      <c r="F227" s="1">
        <f t="shared" si="16"/>
        <v>36300</v>
      </c>
      <c r="H227">
        <f t="shared" si="13"/>
        <v>1</v>
      </c>
      <c r="I227" s="4">
        <f t="shared" si="14"/>
        <v>36300</v>
      </c>
    </row>
    <row r="228" spans="1:9" x14ac:dyDescent="0.35">
      <c r="A228" t="s">
        <v>3</v>
      </c>
      <c r="B228" t="s">
        <v>266</v>
      </c>
      <c r="C228" t="s">
        <v>4</v>
      </c>
      <c r="D228">
        <v>1</v>
      </c>
      <c r="E228" s="1">
        <v>39600</v>
      </c>
      <c r="F228" s="1">
        <f t="shared" si="16"/>
        <v>39600</v>
      </c>
      <c r="H228">
        <f t="shared" si="13"/>
        <v>1</v>
      </c>
      <c r="I228" s="4">
        <f t="shared" si="14"/>
        <v>39600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CDFA-5D6C-4CA9-B003-8BFA83F5F8F5}">
  <sheetPr filterMode="1"/>
  <dimension ref="A1:F217"/>
  <sheetViews>
    <sheetView workbookViewId="0">
      <selection activeCell="B45" sqref="B45"/>
    </sheetView>
  </sheetViews>
  <sheetFormatPr baseColWidth="10" defaultRowHeight="14.5" x14ac:dyDescent="0.35"/>
  <cols>
    <col min="2" max="2" width="39.726562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121</v>
      </c>
      <c r="E1" s="3" t="s">
        <v>230</v>
      </c>
      <c r="F1" s="3">
        <f>SUM(F2:F209)</f>
        <v>1411104.25</v>
      </c>
    </row>
    <row r="2" spans="1:6" hidden="1" x14ac:dyDescent="0.35">
      <c r="A2" s="2" t="s">
        <v>114</v>
      </c>
      <c r="B2" t="s">
        <v>118</v>
      </c>
      <c r="C2" t="s">
        <v>4</v>
      </c>
      <c r="D2">
        <v>0.25</v>
      </c>
      <c r="E2" s="1">
        <v>21900</v>
      </c>
      <c r="F2" s="1">
        <f t="shared" ref="F2:F65" si="0">+E2*D2</f>
        <v>5475</v>
      </c>
    </row>
    <row r="3" spans="1:6" hidden="1" x14ac:dyDescent="0.35">
      <c r="A3" s="2" t="s">
        <v>11</v>
      </c>
      <c r="B3" t="s">
        <v>49</v>
      </c>
      <c r="C3" t="s">
        <v>4</v>
      </c>
      <c r="D3">
        <v>0.4</v>
      </c>
      <c r="E3" s="1">
        <v>40000</v>
      </c>
      <c r="F3" s="1">
        <f t="shared" si="0"/>
        <v>16000</v>
      </c>
    </row>
    <row r="4" spans="1:6" hidden="1" x14ac:dyDescent="0.35">
      <c r="A4" s="2" t="s">
        <v>114</v>
      </c>
      <c r="B4" t="s">
        <v>117</v>
      </c>
      <c r="C4" t="s">
        <v>4</v>
      </c>
      <c r="D4">
        <v>0.5</v>
      </c>
      <c r="E4" s="1">
        <v>21900</v>
      </c>
      <c r="F4" s="1">
        <f t="shared" si="0"/>
        <v>10950</v>
      </c>
    </row>
    <row r="5" spans="1:6" hidden="1" x14ac:dyDescent="0.35">
      <c r="A5" s="2" t="s">
        <v>110</v>
      </c>
      <c r="B5" t="s">
        <v>190</v>
      </c>
      <c r="C5" t="s">
        <v>7</v>
      </c>
      <c r="D5">
        <v>0.5</v>
      </c>
      <c r="E5" s="1">
        <v>2790</v>
      </c>
      <c r="F5" s="1">
        <f t="shared" si="0"/>
        <v>1395</v>
      </c>
    </row>
    <row r="6" spans="1:6" hidden="1" x14ac:dyDescent="0.35">
      <c r="A6" s="2" t="s">
        <v>114</v>
      </c>
      <c r="B6" t="s">
        <v>243</v>
      </c>
      <c r="C6" t="s">
        <v>4</v>
      </c>
      <c r="D6">
        <v>0.5</v>
      </c>
      <c r="E6" s="1"/>
      <c r="F6" s="1">
        <f t="shared" si="0"/>
        <v>0</v>
      </c>
    </row>
    <row r="7" spans="1:6" hidden="1" x14ac:dyDescent="0.35">
      <c r="A7" s="2" t="s">
        <v>122</v>
      </c>
      <c r="B7" t="s">
        <v>138</v>
      </c>
      <c r="C7" t="s">
        <v>7</v>
      </c>
      <c r="D7">
        <v>0.6</v>
      </c>
      <c r="E7" s="1">
        <v>7000</v>
      </c>
      <c r="F7" s="1">
        <f t="shared" si="0"/>
        <v>4200</v>
      </c>
    </row>
    <row r="8" spans="1:6" hidden="1" x14ac:dyDescent="0.35">
      <c r="A8" s="2" t="s">
        <v>110</v>
      </c>
      <c r="B8" t="s">
        <v>175</v>
      </c>
      <c r="C8" t="s">
        <v>7</v>
      </c>
      <c r="D8">
        <v>0.9</v>
      </c>
      <c r="E8" s="1">
        <v>6444</v>
      </c>
      <c r="F8" s="1">
        <f t="shared" si="0"/>
        <v>5799.6</v>
      </c>
    </row>
    <row r="9" spans="1:6" hidden="1" x14ac:dyDescent="0.35">
      <c r="A9" s="2" t="s">
        <v>114</v>
      </c>
      <c r="B9" t="s">
        <v>116</v>
      </c>
      <c r="C9" t="s">
        <v>4</v>
      </c>
      <c r="D9">
        <v>0.9</v>
      </c>
      <c r="E9" s="1">
        <v>23900</v>
      </c>
      <c r="F9" s="1">
        <f t="shared" si="0"/>
        <v>21510</v>
      </c>
    </row>
    <row r="10" spans="1:6" hidden="1" x14ac:dyDescent="0.35">
      <c r="A10" s="2" t="s">
        <v>19</v>
      </c>
      <c r="B10" t="s">
        <v>57</v>
      </c>
      <c r="C10" t="s">
        <v>4</v>
      </c>
      <c r="D10">
        <v>1</v>
      </c>
      <c r="E10" s="1">
        <f>550*150</f>
        <v>82500</v>
      </c>
      <c r="F10" s="1">
        <f t="shared" si="0"/>
        <v>82500</v>
      </c>
    </row>
    <row r="11" spans="1:6" hidden="1" x14ac:dyDescent="0.35">
      <c r="A11" s="2" t="s">
        <v>114</v>
      </c>
      <c r="B11" t="s">
        <v>115</v>
      </c>
      <c r="C11" t="s">
        <v>4</v>
      </c>
      <c r="D11">
        <v>1.2</v>
      </c>
      <c r="E11" s="1">
        <v>21900</v>
      </c>
      <c r="F11" s="1">
        <f t="shared" si="0"/>
        <v>26280</v>
      </c>
    </row>
    <row r="12" spans="1:6" hidden="1" x14ac:dyDescent="0.35">
      <c r="A12" s="2" t="s">
        <v>11</v>
      </c>
      <c r="B12" t="s">
        <v>92</v>
      </c>
      <c r="C12" t="s">
        <v>7</v>
      </c>
      <c r="D12">
        <v>1.49</v>
      </c>
      <c r="E12" s="1">
        <v>9990</v>
      </c>
      <c r="F12" s="1">
        <f t="shared" si="0"/>
        <v>14885.1</v>
      </c>
    </row>
    <row r="13" spans="1:6" hidden="1" x14ac:dyDescent="0.35">
      <c r="A13" s="2" t="s">
        <v>11</v>
      </c>
      <c r="B13" t="s">
        <v>103</v>
      </c>
      <c r="C13" t="s">
        <v>4</v>
      </c>
      <c r="D13">
        <v>2</v>
      </c>
      <c r="E13" s="1">
        <v>1400</v>
      </c>
      <c r="F13" s="1">
        <f t="shared" si="0"/>
        <v>2800</v>
      </c>
    </row>
    <row r="14" spans="1:6" hidden="1" x14ac:dyDescent="0.35">
      <c r="A14" s="2" t="s">
        <v>82</v>
      </c>
      <c r="B14" t="s">
        <v>152</v>
      </c>
      <c r="C14" t="s">
        <v>7</v>
      </c>
      <c r="D14">
        <v>2</v>
      </c>
      <c r="E14" s="1">
        <v>2700</v>
      </c>
      <c r="F14" s="1">
        <f t="shared" si="0"/>
        <v>5400</v>
      </c>
    </row>
    <row r="15" spans="1:6" hidden="1" x14ac:dyDescent="0.35">
      <c r="A15" s="2" t="s">
        <v>19</v>
      </c>
      <c r="B15" t="s">
        <v>107</v>
      </c>
      <c r="C15" t="s">
        <v>4</v>
      </c>
      <c r="D15">
        <v>2</v>
      </c>
      <c r="E15" s="1">
        <v>325</v>
      </c>
      <c r="F15" s="1">
        <f t="shared" si="0"/>
        <v>650</v>
      </c>
    </row>
    <row r="16" spans="1:6" hidden="1" x14ac:dyDescent="0.35">
      <c r="A16" s="2" t="s">
        <v>123</v>
      </c>
      <c r="B16" t="s">
        <v>141</v>
      </c>
      <c r="C16" t="s">
        <v>4</v>
      </c>
      <c r="D16">
        <v>2</v>
      </c>
      <c r="E16" s="1">
        <v>3500</v>
      </c>
      <c r="F16" s="1">
        <f t="shared" si="0"/>
        <v>7000</v>
      </c>
    </row>
    <row r="17" spans="1:6" hidden="1" x14ac:dyDescent="0.35">
      <c r="A17" s="2" t="s">
        <v>10</v>
      </c>
      <c r="B17" t="s">
        <v>96</v>
      </c>
      <c r="C17" t="s">
        <v>4</v>
      </c>
      <c r="D17">
        <v>2</v>
      </c>
      <c r="E17" s="1"/>
      <c r="F17" s="1">
        <f t="shared" si="0"/>
        <v>0</v>
      </c>
    </row>
    <row r="18" spans="1:6" x14ac:dyDescent="0.35">
      <c r="A18" s="2" t="s">
        <v>244</v>
      </c>
      <c r="B18" t="s">
        <v>245</v>
      </c>
      <c r="C18" t="s">
        <v>4</v>
      </c>
      <c r="D18">
        <v>2</v>
      </c>
      <c r="E18" s="1"/>
      <c r="F18" s="1">
        <f t="shared" si="0"/>
        <v>0</v>
      </c>
    </row>
    <row r="19" spans="1:6" hidden="1" x14ac:dyDescent="0.35">
      <c r="A19" s="2" t="s">
        <v>110</v>
      </c>
      <c r="B19" t="s">
        <v>198</v>
      </c>
      <c r="C19" t="s">
        <v>7</v>
      </c>
      <c r="D19">
        <v>2.35</v>
      </c>
      <c r="E19" s="1">
        <v>14300</v>
      </c>
      <c r="F19" s="1">
        <f t="shared" si="0"/>
        <v>33605</v>
      </c>
    </row>
    <row r="20" spans="1:6" hidden="1" x14ac:dyDescent="0.35">
      <c r="A20" s="2" t="s">
        <v>110</v>
      </c>
      <c r="B20" t="s">
        <v>186</v>
      </c>
      <c r="C20" t="s">
        <v>7</v>
      </c>
      <c r="D20">
        <f>0.3*8</f>
        <v>2.4</v>
      </c>
      <c r="E20" s="1"/>
      <c r="F20" s="1">
        <f t="shared" si="0"/>
        <v>0</v>
      </c>
    </row>
    <row r="21" spans="1:6" hidden="1" x14ac:dyDescent="0.35">
      <c r="A21" s="2" t="s">
        <v>110</v>
      </c>
      <c r="B21" t="s">
        <v>179</v>
      </c>
      <c r="C21" t="s">
        <v>7</v>
      </c>
      <c r="D21">
        <f>12*0.2</f>
        <v>2.4000000000000004</v>
      </c>
      <c r="E21" s="1">
        <v>13390</v>
      </c>
      <c r="F21" s="1">
        <f t="shared" si="0"/>
        <v>32136.000000000004</v>
      </c>
    </row>
    <row r="22" spans="1:6" hidden="1" x14ac:dyDescent="0.35">
      <c r="A22" s="2" t="s">
        <v>19</v>
      </c>
      <c r="B22" t="s">
        <v>100</v>
      </c>
      <c r="C22" t="s">
        <v>4</v>
      </c>
      <c r="D22">
        <v>2.5</v>
      </c>
      <c r="E22" s="1">
        <v>1154</v>
      </c>
      <c r="F22" s="1">
        <f t="shared" si="0"/>
        <v>2885</v>
      </c>
    </row>
    <row r="23" spans="1:6" hidden="1" x14ac:dyDescent="0.35">
      <c r="A23" s="2" t="s">
        <v>110</v>
      </c>
      <c r="B23" t="s">
        <v>176</v>
      </c>
      <c r="C23" t="s">
        <v>4</v>
      </c>
      <c r="D23">
        <f>17*0.2</f>
        <v>3.4000000000000004</v>
      </c>
      <c r="E23" s="1">
        <v>11790</v>
      </c>
      <c r="F23" s="1">
        <f t="shared" si="0"/>
        <v>40086.000000000007</v>
      </c>
    </row>
    <row r="24" spans="1:6" hidden="1" x14ac:dyDescent="0.35">
      <c r="A24" s="2" t="s">
        <v>6</v>
      </c>
      <c r="B24" t="s">
        <v>93</v>
      </c>
      <c r="C24" t="s">
        <v>4</v>
      </c>
      <c r="D24">
        <v>3.5</v>
      </c>
      <c r="E24" s="1">
        <v>495</v>
      </c>
      <c r="F24" s="1">
        <f t="shared" si="0"/>
        <v>1732.5</v>
      </c>
    </row>
    <row r="25" spans="1:6" hidden="1" x14ac:dyDescent="0.35">
      <c r="A25" s="2" t="s">
        <v>110</v>
      </c>
      <c r="B25" t="s">
        <v>185</v>
      </c>
      <c r="C25" t="s">
        <v>7</v>
      </c>
      <c r="D25">
        <v>3.91</v>
      </c>
      <c r="E25" s="1">
        <v>12400</v>
      </c>
      <c r="F25" s="1">
        <f t="shared" si="0"/>
        <v>48484</v>
      </c>
    </row>
    <row r="26" spans="1:6" hidden="1" x14ac:dyDescent="0.35">
      <c r="A26" s="2" t="s">
        <v>82</v>
      </c>
      <c r="B26" t="s">
        <v>158</v>
      </c>
      <c r="C26" t="s">
        <v>7</v>
      </c>
      <c r="D26">
        <v>4</v>
      </c>
      <c r="E26" s="1">
        <v>5800</v>
      </c>
      <c r="F26" s="1">
        <f t="shared" si="0"/>
        <v>23200</v>
      </c>
    </row>
    <row r="27" spans="1:6" hidden="1" x14ac:dyDescent="0.35">
      <c r="A27" s="2" t="s">
        <v>3</v>
      </c>
      <c r="B27" t="s">
        <v>95</v>
      </c>
      <c r="C27" t="s">
        <v>7</v>
      </c>
      <c r="D27">
        <v>4</v>
      </c>
      <c r="E27" s="1">
        <v>3600</v>
      </c>
      <c r="F27" s="1">
        <f t="shared" si="0"/>
        <v>14400</v>
      </c>
    </row>
    <row r="28" spans="1:6" hidden="1" x14ac:dyDescent="0.35">
      <c r="A28" s="2" t="s">
        <v>122</v>
      </c>
      <c r="B28" t="s">
        <v>161</v>
      </c>
      <c r="C28" t="s">
        <v>7</v>
      </c>
      <c r="D28">
        <v>4</v>
      </c>
      <c r="E28" s="1">
        <v>639</v>
      </c>
      <c r="F28" s="1">
        <f t="shared" si="0"/>
        <v>2556</v>
      </c>
    </row>
    <row r="29" spans="1:6" hidden="1" x14ac:dyDescent="0.35">
      <c r="A29" s="2" t="s">
        <v>110</v>
      </c>
      <c r="B29" t="s">
        <v>188</v>
      </c>
      <c r="C29" t="s">
        <v>7</v>
      </c>
      <c r="D29">
        <f>0.5*9</f>
        <v>4.5</v>
      </c>
      <c r="E29" s="1">
        <v>10990</v>
      </c>
      <c r="F29" s="1">
        <f t="shared" si="0"/>
        <v>49455</v>
      </c>
    </row>
    <row r="30" spans="1:6" hidden="1" x14ac:dyDescent="0.35">
      <c r="A30" s="2" t="s">
        <v>110</v>
      </c>
      <c r="B30" t="s">
        <v>181</v>
      </c>
      <c r="C30" t="s">
        <v>7</v>
      </c>
      <c r="D30">
        <v>4.6749999999999998</v>
      </c>
      <c r="E30" s="1">
        <v>26950</v>
      </c>
      <c r="F30" s="1">
        <f t="shared" si="0"/>
        <v>125991.25</v>
      </c>
    </row>
    <row r="31" spans="1:6" hidden="1" x14ac:dyDescent="0.35">
      <c r="A31" s="2" t="s">
        <v>122</v>
      </c>
      <c r="B31" t="s">
        <v>170</v>
      </c>
      <c r="C31" t="s">
        <v>4</v>
      </c>
      <c r="D31">
        <v>5</v>
      </c>
      <c r="E31" s="1">
        <v>500</v>
      </c>
      <c r="F31" s="1">
        <f t="shared" si="0"/>
        <v>2500</v>
      </c>
    </row>
    <row r="32" spans="1:6" x14ac:dyDescent="0.35">
      <c r="A32" s="2" t="s">
        <v>244</v>
      </c>
      <c r="B32" t="s">
        <v>246</v>
      </c>
      <c r="C32" t="s">
        <v>4</v>
      </c>
      <c r="D32">
        <v>5</v>
      </c>
      <c r="E32" s="1"/>
      <c r="F32" s="1">
        <f t="shared" si="0"/>
        <v>0</v>
      </c>
    </row>
    <row r="33" spans="1:6" hidden="1" x14ac:dyDescent="0.35">
      <c r="A33" s="2" t="s">
        <v>110</v>
      </c>
      <c r="B33" t="s">
        <v>172</v>
      </c>
      <c r="C33" t="s">
        <v>7</v>
      </c>
      <c r="D33">
        <v>5.2649999999999997</v>
      </c>
      <c r="E33" s="1">
        <v>25490</v>
      </c>
      <c r="F33" s="1">
        <f t="shared" si="0"/>
        <v>134204.85</v>
      </c>
    </row>
    <row r="34" spans="1:6" hidden="1" x14ac:dyDescent="0.35">
      <c r="A34" s="2" t="s">
        <v>82</v>
      </c>
      <c r="B34" t="s">
        <v>157</v>
      </c>
      <c r="C34" t="s">
        <v>7</v>
      </c>
      <c r="D34">
        <v>6</v>
      </c>
      <c r="E34" s="1">
        <v>6500</v>
      </c>
      <c r="F34" s="1">
        <f t="shared" si="0"/>
        <v>39000</v>
      </c>
    </row>
    <row r="35" spans="1:6" hidden="1" x14ac:dyDescent="0.35">
      <c r="A35" s="2" t="s">
        <v>82</v>
      </c>
      <c r="B35" t="s">
        <v>160</v>
      </c>
      <c r="C35" t="s">
        <v>7</v>
      </c>
      <c r="D35">
        <v>6</v>
      </c>
      <c r="E35" s="1">
        <v>4800</v>
      </c>
      <c r="F35" s="1">
        <f t="shared" si="0"/>
        <v>28800</v>
      </c>
    </row>
    <row r="36" spans="1:6" hidden="1" x14ac:dyDescent="0.35">
      <c r="A36" s="2" t="s">
        <v>110</v>
      </c>
      <c r="B36" t="s">
        <v>201</v>
      </c>
      <c r="C36" t="s">
        <v>7</v>
      </c>
      <c r="D36">
        <v>6.6550000000000002</v>
      </c>
      <c r="E36" s="1"/>
      <c r="F36" s="1">
        <f t="shared" si="0"/>
        <v>0</v>
      </c>
    </row>
    <row r="37" spans="1:6" hidden="1" x14ac:dyDescent="0.35">
      <c r="A37" s="2" t="s">
        <v>127</v>
      </c>
      <c r="B37" t="s">
        <v>128</v>
      </c>
      <c r="C37" t="s">
        <v>7</v>
      </c>
      <c r="D37">
        <v>7</v>
      </c>
      <c r="E37" s="1">
        <v>8500</v>
      </c>
      <c r="F37" s="1">
        <f t="shared" si="0"/>
        <v>59500</v>
      </c>
    </row>
    <row r="38" spans="1:6" hidden="1" x14ac:dyDescent="0.35">
      <c r="A38" s="2" t="s">
        <v>110</v>
      </c>
      <c r="B38" t="s">
        <v>196</v>
      </c>
      <c r="C38" t="s">
        <v>7</v>
      </c>
      <c r="D38">
        <v>7.1849999999999996</v>
      </c>
      <c r="E38" s="1">
        <v>11990</v>
      </c>
      <c r="F38" s="1">
        <f t="shared" si="0"/>
        <v>86148.15</v>
      </c>
    </row>
    <row r="39" spans="1:6" hidden="1" x14ac:dyDescent="0.35">
      <c r="A39" s="2" t="s">
        <v>119</v>
      </c>
      <c r="B39" t="s">
        <v>120</v>
      </c>
      <c r="C39" t="s">
        <v>7</v>
      </c>
      <c r="D39">
        <v>9.5540000000000003</v>
      </c>
      <c r="E39" s="1">
        <v>9500</v>
      </c>
      <c r="F39" s="1">
        <f t="shared" si="0"/>
        <v>90763</v>
      </c>
    </row>
    <row r="40" spans="1:6" x14ac:dyDescent="0.35">
      <c r="A40" s="2" t="s">
        <v>244</v>
      </c>
      <c r="B40" t="s">
        <v>247</v>
      </c>
      <c r="C40" t="s">
        <v>4</v>
      </c>
      <c r="D40">
        <v>10</v>
      </c>
      <c r="E40" s="1"/>
      <c r="F40" s="1">
        <f t="shared" si="0"/>
        <v>0</v>
      </c>
    </row>
    <row r="41" spans="1:6" hidden="1" x14ac:dyDescent="0.35">
      <c r="A41" s="2" t="s">
        <v>11</v>
      </c>
      <c r="B41" t="s">
        <v>102</v>
      </c>
      <c r="C41" t="s">
        <v>4</v>
      </c>
      <c r="D41">
        <v>11</v>
      </c>
      <c r="E41" s="1">
        <v>1749.5</v>
      </c>
      <c r="F41" s="1">
        <f t="shared" si="0"/>
        <v>19244.5</v>
      </c>
    </row>
    <row r="42" spans="1:6" x14ac:dyDescent="0.35">
      <c r="A42" s="2" t="s">
        <v>244</v>
      </c>
      <c r="B42" t="s">
        <v>248</v>
      </c>
      <c r="C42" t="s">
        <v>4</v>
      </c>
      <c r="D42">
        <v>17</v>
      </c>
      <c r="E42" s="1"/>
      <c r="F42" s="1">
        <f t="shared" si="0"/>
        <v>0</v>
      </c>
    </row>
    <row r="43" spans="1:6" hidden="1" x14ac:dyDescent="0.35">
      <c r="A43" s="2" t="s">
        <v>110</v>
      </c>
      <c r="B43" t="s">
        <v>173</v>
      </c>
      <c r="C43" t="s">
        <v>7</v>
      </c>
      <c r="D43">
        <f>7.23+1.245+8.695</f>
        <v>17.170000000000002</v>
      </c>
      <c r="E43" s="1">
        <v>19990</v>
      </c>
      <c r="F43" s="1">
        <f t="shared" si="0"/>
        <v>343228.30000000005</v>
      </c>
    </row>
    <row r="44" spans="1:6" hidden="1" x14ac:dyDescent="0.35">
      <c r="A44" s="2" t="s">
        <v>19</v>
      </c>
      <c r="B44" t="s">
        <v>106</v>
      </c>
      <c r="C44" t="s">
        <v>4</v>
      </c>
      <c r="D44">
        <v>19</v>
      </c>
      <c r="E44" s="1">
        <v>325</v>
      </c>
      <c r="F44" s="1">
        <f t="shared" si="0"/>
        <v>6175</v>
      </c>
    </row>
    <row r="45" spans="1:6" x14ac:dyDescent="0.35">
      <c r="A45" s="2" t="s">
        <v>244</v>
      </c>
      <c r="B45" t="s">
        <v>249</v>
      </c>
      <c r="C45" t="s">
        <v>4</v>
      </c>
      <c r="D45">
        <v>32</v>
      </c>
      <c r="E45" s="1"/>
      <c r="F45" s="1">
        <f t="shared" si="0"/>
        <v>0</v>
      </c>
    </row>
    <row r="46" spans="1:6" x14ac:dyDescent="0.35">
      <c r="A46" s="2" t="s">
        <v>244</v>
      </c>
      <c r="B46" t="s">
        <v>250</v>
      </c>
      <c r="C46" t="s">
        <v>4</v>
      </c>
      <c r="D46">
        <v>34</v>
      </c>
      <c r="E46" s="1"/>
      <c r="F46" s="1">
        <f t="shared" si="0"/>
        <v>0</v>
      </c>
    </row>
    <row r="47" spans="1:6" x14ac:dyDescent="0.35">
      <c r="A47" s="2" t="s">
        <v>244</v>
      </c>
      <c r="B47" t="s">
        <v>251</v>
      </c>
      <c r="C47" t="s">
        <v>4</v>
      </c>
      <c r="D47">
        <v>38</v>
      </c>
      <c r="E47" s="1"/>
      <c r="F47" s="1">
        <f t="shared" si="0"/>
        <v>0</v>
      </c>
    </row>
    <row r="48" spans="1:6" hidden="1" x14ac:dyDescent="0.35">
      <c r="A48" s="2" t="s">
        <v>110</v>
      </c>
      <c r="B48" t="s">
        <v>111</v>
      </c>
      <c r="C48" t="s">
        <v>4</v>
      </c>
      <c r="D48">
        <v>42</v>
      </c>
      <c r="E48" s="1">
        <v>195</v>
      </c>
      <c r="F48" s="1">
        <f t="shared" si="0"/>
        <v>8190</v>
      </c>
    </row>
    <row r="49" spans="1:6" hidden="1" x14ac:dyDescent="0.35">
      <c r="A49" s="2" t="s">
        <v>19</v>
      </c>
      <c r="B49" t="s">
        <v>105</v>
      </c>
      <c r="C49" t="s">
        <v>4</v>
      </c>
      <c r="D49">
        <v>43</v>
      </c>
      <c r="E49" s="1">
        <v>325</v>
      </c>
      <c r="F49" s="1">
        <f t="shared" si="0"/>
        <v>13975</v>
      </c>
    </row>
    <row r="50" spans="1:6" hidden="1" x14ac:dyDescent="0.35">
      <c r="A50" s="2" t="s">
        <v>19</v>
      </c>
      <c r="B50" t="s">
        <v>113</v>
      </c>
      <c r="C50" t="s">
        <v>4</v>
      </c>
      <c r="D50">
        <v>770</v>
      </c>
      <c r="E50" s="1"/>
      <c r="F50" s="1">
        <f t="shared" si="0"/>
        <v>0</v>
      </c>
    </row>
    <row r="51" spans="1:6" hidden="1" x14ac:dyDescent="0.35">
      <c r="A51" s="2" t="s">
        <v>19</v>
      </c>
      <c r="B51" t="s">
        <v>91</v>
      </c>
      <c r="C51" t="s">
        <v>4</v>
      </c>
      <c r="E51" s="1">
        <v>23850</v>
      </c>
      <c r="F51" s="1">
        <f t="shared" si="0"/>
        <v>0</v>
      </c>
    </row>
    <row r="52" spans="1:6" hidden="1" x14ac:dyDescent="0.35">
      <c r="A52" s="2" t="s">
        <v>19</v>
      </c>
      <c r="B52" t="s">
        <v>98</v>
      </c>
      <c r="C52" t="s">
        <v>7</v>
      </c>
      <c r="E52" s="1">
        <v>21080</v>
      </c>
      <c r="F52" s="1">
        <f t="shared" si="0"/>
        <v>0</v>
      </c>
    </row>
    <row r="53" spans="1:6" hidden="1" x14ac:dyDescent="0.35">
      <c r="A53" s="2" t="s">
        <v>202</v>
      </c>
      <c r="B53" t="s">
        <v>227</v>
      </c>
      <c r="C53" t="s">
        <v>228</v>
      </c>
      <c r="E53" s="1">
        <v>940</v>
      </c>
      <c r="F53" s="1">
        <f t="shared" si="0"/>
        <v>0</v>
      </c>
    </row>
    <row r="54" spans="1:6" hidden="1" x14ac:dyDescent="0.35">
      <c r="A54" s="2" t="s">
        <v>19</v>
      </c>
      <c r="B54" t="s">
        <v>90</v>
      </c>
      <c r="C54" t="s">
        <v>7</v>
      </c>
      <c r="E54" s="1">
        <v>16845</v>
      </c>
      <c r="F54" s="1">
        <f t="shared" si="0"/>
        <v>0</v>
      </c>
    </row>
    <row r="55" spans="1:6" hidden="1" x14ac:dyDescent="0.35">
      <c r="A55" s="2" t="s">
        <v>110</v>
      </c>
      <c r="B55" t="s">
        <v>174</v>
      </c>
      <c r="C55" t="s">
        <v>7</v>
      </c>
      <c r="E55" s="1">
        <v>7100</v>
      </c>
      <c r="F55" s="1">
        <f t="shared" si="0"/>
        <v>0</v>
      </c>
    </row>
    <row r="56" spans="1:6" hidden="1" x14ac:dyDescent="0.35">
      <c r="A56" s="2" t="s">
        <v>110</v>
      </c>
      <c r="B56" t="s">
        <v>200</v>
      </c>
      <c r="C56" t="s">
        <v>7</v>
      </c>
      <c r="E56" s="1">
        <v>16776</v>
      </c>
      <c r="F56" s="1">
        <f t="shared" si="0"/>
        <v>0</v>
      </c>
    </row>
    <row r="57" spans="1:6" hidden="1" x14ac:dyDescent="0.35">
      <c r="A57" s="2" t="s">
        <v>202</v>
      </c>
      <c r="B57" t="s">
        <v>226</v>
      </c>
      <c r="C57" t="s">
        <v>228</v>
      </c>
      <c r="E57" s="1">
        <v>766</v>
      </c>
      <c r="F57" s="1">
        <f t="shared" si="0"/>
        <v>0</v>
      </c>
    </row>
    <row r="58" spans="1:6" hidden="1" x14ac:dyDescent="0.35">
      <c r="A58" s="2" t="s">
        <v>19</v>
      </c>
      <c r="B58" t="s">
        <v>232</v>
      </c>
      <c r="C58" t="s">
        <v>4</v>
      </c>
      <c r="E58" s="1">
        <v>281</v>
      </c>
      <c r="F58" s="1">
        <f t="shared" si="0"/>
        <v>0</v>
      </c>
    </row>
    <row r="59" spans="1:6" hidden="1" x14ac:dyDescent="0.35">
      <c r="A59" s="2" t="s">
        <v>110</v>
      </c>
      <c r="B59" t="s">
        <v>183</v>
      </c>
      <c r="C59" t="s">
        <v>7</v>
      </c>
      <c r="E59" s="1">
        <v>9820</v>
      </c>
      <c r="F59" s="1">
        <f t="shared" si="0"/>
        <v>0</v>
      </c>
    </row>
    <row r="60" spans="1:6" hidden="1" x14ac:dyDescent="0.35">
      <c r="A60" s="2" t="s">
        <v>9</v>
      </c>
      <c r="B60" t="s">
        <v>78</v>
      </c>
      <c r="C60" t="s">
        <v>7</v>
      </c>
      <c r="E60" s="1">
        <v>20500</v>
      </c>
      <c r="F60" s="1">
        <f t="shared" si="0"/>
        <v>0</v>
      </c>
    </row>
    <row r="61" spans="1:6" hidden="1" x14ac:dyDescent="0.35">
      <c r="A61" s="2" t="s">
        <v>110</v>
      </c>
      <c r="B61" t="s">
        <v>187</v>
      </c>
      <c r="C61" t="s">
        <v>7</v>
      </c>
      <c r="E61" s="1">
        <v>13000</v>
      </c>
      <c r="F61" s="1">
        <f t="shared" si="0"/>
        <v>0</v>
      </c>
    </row>
    <row r="62" spans="1:6" hidden="1" x14ac:dyDescent="0.35">
      <c r="A62" s="2" t="s">
        <v>202</v>
      </c>
      <c r="B62" t="s">
        <v>222</v>
      </c>
      <c r="C62" t="s">
        <v>228</v>
      </c>
      <c r="E62" s="1">
        <v>6578</v>
      </c>
      <c r="F62" s="1">
        <f t="shared" si="0"/>
        <v>0</v>
      </c>
    </row>
    <row r="63" spans="1:6" hidden="1" x14ac:dyDescent="0.35">
      <c r="A63" s="2" t="s">
        <v>82</v>
      </c>
      <c r="B63" t="s">
        <v>164</v>
      </c>
      <c r="C63" t="s">
        <v>7</v>
      </c>
      <c r="E63" s="1">
        <v>3900</v>
      </c>
      <c r="F63" s="1">
        <f t="shared" si="0"/>
        <v>0</v>
      </c>
    </row>
    <row r="64" spans="1:6" hidden="1" x14ac:dyDescent="0.35">
      <c r="A64" s="2" t="s">
        <v>82</v>
      </c>
      <c r="B64" t="s">
        <v>104</v>
      </c>
      <c r="C64" t="s">
        <v>7</v>
      </c>
      <c r="E64" s="1">
        <v>2880</v>
      </c>
      <c r="F64" s="1">
        <f t="shared" si="0"/>
        <v>0</v>
      </c>
    </row>
    <row r="65" spans="1:6" hidden="1" x14ac:dyDescent="0.35">
      <c r="A65" s="2" t="s">
        <v>11</v>
      </c>
      <c r="B65" t="s">
        <v>101</v>
      </c>
      <c r="C65" t="s">
        <v>4</v>
      </c>
      <c r="E65" s="1">
        <v>4750</v>
      </c>
      <c r="F65" s="1">
        <f t="shared" si="0"/>
        <v>0</v>
      </c>
    </row>
    <row r="66" spans="1:6" hidden="1" x14ac:dyDescent="0.35">
      <c r="A66" s="2" t="s">
        <v>122</v>
      </c>
      <c r="B66" t="s">
        <v>168</v>
      </c>
      <c r="C66" t="s">
        <v>7</v>
      </c>
      <c r="E66" s="1">
        <v>1700</v>
      </c>
      <c r="F66" s="1">
        <f t="shared" ref="F66:F129" si="1">+E66*D66</f>
        <v>0</v>
      </c>
    </row>
    <row r="67" spans="1:6" hidden="1" x14ac:dyDescent="0.35">
      <c r="A67" s="2" t="s">
        <v>6</v>
      </c>
      <c r="B67" t="s">
        <v>76</v>
      </c>
      <c r="C67" t="s">
        <v>4</v>
      </c>
      <c r="E67" s="1">
        <v>9875</v>
      </c>
      <c r="F67" s="1">
        <f t="shared" si="1"/>
        <v>0</v>
      </c>
    </row>
    <row r="68" spans="1:6" hidden="1" x14ac:dyDescent="0.35">
      <c r="A68" s="2" t="s">
        <v>10</v>
      </c>
      <c r="B68" t="s">
        <v>47</v>
      </c>
      <c r="C68" t="s">
        <v>4</v>
      </c>
      <c r="E68" s="1">
        <v>39000</v>
      </c>
      <c r="F68" s="1">
        <f t="shared" si="1"/>
        <v>0</v>
      </c>
    </row>
    <row r="69" spans="1:6" hidden="1" x14ac:dyDescent="0.35">
      <c r="A69" s="2" t="s">
        <v>110</v>
      </c>
      <c r="B69" t="s">
        <v>178</v>
      </c>
      <c r="C69" t="s">
        <v>4</v>
      </c>
      <c r="E69" s="1">
        <v>12990</v>
      </c>
      <c r="F69" s="1">
        <f t="shared" si="1"/>
        <v>0</v>
      </c>
    </row>
    <row r="70" spans="1:6" hidden="1" x14ac:dyDescent="0.35">
      <c r="A70" s="2" t="s">
        <v>122</v>
      </c>
      <c r="B70" t="s">
        <v>150</v>
      </c>
      <c r="C70" t="s">
        <v>7</v>
      </c>
      <c r="E70" s="1">
        <v>7500</v>
      </c>
      <c r="F70" s="1">
        <f t="shared" si="1"/>
        <v>0</v>
      </c>
    </row>
    <row r="71" spans="1:6" hidden="1" x14ac:dyDescent="0.35">
      <c r="A71" s="2" t="s">
        <v>202</v>
      </c>
      <c r="B71" t="s">
        <v>206</v>
      </c>
      <c r="C71" t="s">
        <v>228</v>
      </c>
      <c r="E71" s="1">
        <v>230</v>
      </c>
      <c r="F71" s="1">
        <f t="shared" si="1"/>
        <v>0</v>
      </c>
    </row>
    <row r="72" spans="1:6" hidden="1" x14ac:dyDescent="0.35">
      <c r="A72" s="2" t="s">
        <v>3</v>
      </c>
      <c r="B72" t="s">
        <v>56</v>
      </c>
      <c r="C72" t="s">
        <v>4</v>
      </c>
      <c r="E72" s="1">
        <v>15850</v>
      </c>
      <c r="F72" s="1">
        <f t="shared" si="1"/>
        <v>0</v>
      </c>
    </row>
    <row r="73" spans="1:6" hidden="1" x14ac:dyDescent="0.35">
      <c r="A73" s="2" t="s">
        <v>122</v>
      </c>
      <c r="B73" t="s">
        <v>155</v>
      </c>
      <c r="C73" t="s">
        <v>7</v>
      </c>
      <c r="E73" s="1">
        <v>3500</v>
      </c>
      <c r="F73" s="1">
        <f t="shared" si="1"/>
        <v>0</v>
      </c>
    </row>
    <row r="74" spans="1:6" hidden="1" x14ac:dyDescent="0.35">
      <c r="A74" s="2" t="s">
        <v>3</v>
      </c>
      <c r="B74" t="s">
        <v>231</v>
      </c>
      <c r="C74" t="s">
        <v>4</v>
      </c>
      <c r="E74" s="1">
        <v>125</v>
      </c>
      <c r="F74" s="1">
        <f t="shared" si="1"/>
        <v>0</v>
      </c>
    </row>
    <row r="75" spans="1:6" hidden="1" x14ac:dyDescent="0.35">
      <c r="A75" s="2" t="s">
        <v>11</v>
      </c>
      <c r="B75" t="s">
        <v>51</v>
      </c>
      <c r="C75" t="s">
        <v>7</v>
      </c>
      <c r="E75" s="1">
        <v>18000</v>
      </c>
      <c r="F75" s="1">
        <f t="shared" si="1"/>
        <v>0</v>
      </c>
    </row>
    <row r="76" spans="1:6" hidden="1" x14ac:dyDescent="0.35">
      <c r="A76" s="2" t="s">
        <v>122</v>
      </c>
      <c r="B76" t="s">
        <v>169</v>
      </c>
      <c r="C76" t="s">
        <v>7</v>
      </c>
      <c r="E76" s="1">
        <v>800</v>
      </c>
      <c r="F76" s="1">
        <f t="shared" si="1"/>
        <v>0</v>
      </c>
    </row>
    <row r="77" spans="1:6" hidden="1" x14ac:dyDescent="0.35">
      <c r="A77" s="2" t="s">
        <v>122</v>
      </c>
      <c r="B77" t="s">
        <v>167</v>
      </c>
      <c r="C77" t="s">
        <v>7</v>
      </c>
      <c r="E77" s="1">
        <v>913</v>
      </c>
      <c r="F77" s="1">
        <f t="shared" si="1"/>
        <v>0</v>
      </c>
    </row>
    <row r="78" spans="1:6" hidden="1" x14ac:dyDescent="0.35">
      <c r="A78" s="2" t="s">
        <v>19</v>
      </c>
      <c r="B78" t="s">
        <v>58</v>
      </c>
      <c r="C78" t="s">
        <v>4</v>
      </c>
      <c r="E78" s="1">
        <v>12171</v>
      </c>
      <c r="F78" s="1">
        <f t="shared" si="1"/>
        <v>0</v>
      </c>
    </row>
    <row r="79" spans="1:6" hidden="1" x14ac:dyDescent="0.35">
      <c r="A79" s="2" t="s">
        <v>82</v>
      </c>
      <c r="B79" t="s">
        <v>154</v>
      </c>
      <c r="C79" t="s">
        <v>7</v>
      </c>
      <c r="E79" s="1">
        <v>2800</v>
      </c>
      <c r="F79" s="1">
        <f t="shared" si="1"/>
        <v>0</v>
      </c>
    </row>
    <row r="80" spans="1:6" hidden="1" x14ac:dyDescent="0.35">
      <c r="A80" s="2" t="s">
        <v>3</v>
      </c>
      <c r="B80" t="s">
        <v>35</v>
      </c>
      <c r="C80" t="s">
        <v>7</v>
      </c>
      <c r="E80" s="1">
        <v>22060</v>
      </c>
      <c r="F80" s="1">
        <f t="shared" si="1"/>
        <v>0</v>
      </c>
    </row>
    <row r="81" spans="1:6" hidden="1" x14ac:dyDescent="0.35">
      <c r="A81" s="2" t="s">
        <v>82</v>
      </c>
      <c r="B81" t="s">
        <v>83</v>
      </c>
      <c r="C81" t="s">
        <v>4</v>
      </c>
      <c r="E81" s="1">
        <v>4060</v>
      </c>
      <c r="F81" s="1">
        <f t="shared" si="1"/>
        <v>0</v>
      </c>
    </row>
    <row r="82" spans="1:6" hidden="1" x14ac:dyDescent="0.35">
      <c r="A82" s="2" t="s">
        <v>19</v>
      </c>
      <c r="B82" t="s">
        <v>109</v>
      </c>
      <c r="C82" t="s">
        <v>4</v>
      </c>
      <c r="E82" s="1">
        <v>325</v>
      </c>
      <c r="F82" s="1">
        <f t="shared" si="1"/>
        <v>0</v>
      </c>
    </row>
    <row r="83" spans="1:6" hidden="1" x14ac:dyDescent="0.35">
      <c r="A83" s="2" t="s">
        <v>6</v>
      </c>
      <c r="B83" t="s">
        <v>60</v>
      </c>
      <c r="C83" t="s">
        <v>61</v>
      </c>
      <c r="E83" s="1">
        <v>9000</v>
      </c>
      <c r="F83" s="1">
        <f t="shared" si="1"/>
        <v>0</v>
      </c>
    </row>
    <row r="84" spans="1:6" hidden="1" x14ac:dyDescent="0.35">
      <c r="A84" s="2" t="s">
        <v>122</v>
      </c>
      <c r="B84" t="s">
        <v>171</v>
      </c>
      <c r="C84" t="s">
        <v>4</v>
      </c>
      <c r="E84" s="1">
        <v>500</v>
      </c>
      <c r="F84" s="1">
        <f t="shared" si="1"/>
        <v>0</v>
      </c>
    </row>
    <row r="85" spans="1:6" hidden="1" x14ac:dyDescent="0.35">
      <c r="A85" s="2" t="s">
        <v>122</v>
      </c>
      <c r="B85" t="s">
        <v>165</v>
      </c>
      <c r="C85" t="s">
        <v>4</v>
      </c>
      <c r="E85" s="1">
        <v>900</v>
      </c>
      <c r="F85" s="1">
        <f t="shared" si="1"/>
        <v>0</v>
      </c>
    </row>
    <row r="86" spans="1:6" hidden="1" x14ac:dyDescent="0.35">
      <c r="A86" s="2" t="s">
        <v>3</v>
      </c>
      <c r="B86" t="s">
        <v>36</v>
      </c>
      <c r="C86" t="s">
        <v>4</v>
      </c>
      <c r="E86" s="1">
        <v>15980</v>
      </c>
      <c r="F86" s="1">
        <f t="shared" si="1"/>
        <v>0</v>
      </c>
    </row>
    <row r="87" spans="1:6" hidden="1" x14ac:dyDescent="0.35">
      <c r="A87" s="2" t="s">
        <v>10</v>
      </c>
      <c r="B87" t="s">
        <v>87</v>
      </c>
      <c r="C87" t="s">
        <v>4</v>
      </c>
      <c r="E87" s="1">
        <v>2658</v>
      </c>
      <c r="F87" s="1">
        <f t="shared" si="1"/>
        <v>0</v>
      </c>
    </row>
    <row r="88" spans="1:6" hidden="1" x14ac:dyDescent="0.35">
      <c r="A88" s="2" t="s">
        <v>11</v>
      </c>
      <c r="B88" t="s">
        <v>94</v>
      </c>
      <c r="C88" t="s">
        <v>4</v>
      </c>
      <c r="E88" s="1">
        <v>1760</v>
      </c>
      <c r="F88" s="1">
        <f t="shared" si="1"/>
        <v>0</v>
      </c>
    </row>
    <row r="89" spans="1:6" hidden="1" x14ac:dyDescent="0.35">
      <c r="A89" s="2" t="s">
        <v>122</v>
      </c>
      <c r="B89" t="s">
        <v>163</v>
      </c>
      <c r="C89" t="s">
        <v>4</v>
      </c>
      <c r="E89" s="1">
        <v>1100</v>
      </c>
      <c r="F89" s="1">
        <f t="shared" si="1"/>
        <v>0</v>
      </c>
    </row>
    <row r="90" spans="1:6" hidden="1" x14ac:dyDescent="0.35">
      <c r="A90" s="2" t="s">
        <v>11</v>
      </c>
      <c r="B90" t="s">
        <v>97</v>
      </c>
      <c r="C90" t="s">
        <v>4</v>
      </c>
      <c r="E90" s="1">
        <v>1530</v>
      </c>
      <c r="F90" s="1">
        <f t="shared" si="1"/>
        <v>0</v>
      </c>
    </row>
    <row r="91" spans="1:6" hidden="1" x14ac:dyDescent="0.35">
      <c r="A91" s="2" t="s">
        <v>82</v>
      </c>
      <c r="B91" t="s">
        <v>86</v>
      </c>
      <c r="C91" t="s">
        <v>7</v>
      </c>
      <c r="E91" s="1">
        <v>2520</v>
      </c>
      <c r="F91" s="1">
        <f t="shared" si="1"/>
        <v>0</v>
      </c>
    </row>
    <row r="92" spans="1:6" hidden="1" x14ac:dyDescent="0.35">
      <c r="A92" s="2" t="s">
        <v>11</v>
      </c>
      <c r="B92" t="s">
        <v>66</v>
      </c>
      <c r="C92" t="s">
        <v>7</v>
      </c>
      <c r="E92" s="1">
        <v>6176</v>
      </c>
      <c r="F92" s="1">
        <f t="shared" si="1"/>
        <v>0</v>
      </c>
    </row>
    <row r="93" spans="1:6" hidden="1" x14ac:dyDescent="0.35">
      <c r="A93" s="2" t="s">
        <v>202</v>
      </c>
      <c r="B93" t="s">
        <v>208</v>
      </c>
      <c r="C93" t="s">
        <v>89</v>
      </c>
      <c r="E93" s="1">
        <v>1640</v>
      </c>
      <c r="F93" s="1">
        <f t="shared" si="1"/>
        <v>0</v>
      </c>
    </row>
    <row r="94" spans="1:6" hidden="1" x14ac:dyDescent="0.35">
      <c r="A94" s="2" t="s">
        <v>19</v>
      </c>
      <c r="B94" t="s">
        <v>108</v>
      </c>
      <c r="C94" t="s">
        <v>4</v>
      </c>
      <c r="E94" s="1">
        <v>325</v>
      </c>
      <c r="F94" s="1">
        <f t="shared" si="1"/>
        <v>0</v>
      </c>
    </row>
    <row r="95" spans="1:6" hidden="1" x14ac:dyDescent="0.35">
      <c r="A95" s="2" t="s">
        <v>122</v>
      </c>
      <c r="B95" t="s">
        <v>136</v>
      </c>
      <c r="C95" t="s">
        <v>131</v>
      </c>
      <c r="E95" s="1">
        <v>12000</v>
      </c>
      <c r="F95" s="1">
        <f t="shared" si="1"/>
        <v>0</v>
      </c>
    </row>
    <row r="96" spans="1:6" hidden="1" x14ac:dyDescent="0.35">
      <c r="A96" s="2" t="s">
        <v>122</v>
      </c>
      <c r="B96" t="s">
        <v>166</v>
      </c>
      <c r="C96" t="s">
        <v>4</v>
      </c>
      <c r="E96" s="1">
        <v>600</v>
      </c>
      <c r="F96" s="1">
        <f t="shared" si="1"/>
        <v>0</v>
      </c>
    </row>
    <row r="97" spans="1:6" hidden="1" x14ac:dyDescent="0.35">
      <c r="A97" s="2" t="s">
        <v>122</v>
      </c>
      <c r="B97" t="s">
        <v>144</v>
      </c>
      <c r="C97" t="s">
        <v>7</v>
      </c>
      <c r="E97" s="1">
        <v>4990</v>
      </c>
      <c r="F97" s="1">
        <f t="shared" si="1"/>
        <v>0</v>
      </c>
    </row>
    <row r="98" spans="1:6" hidden="1" x14ac:dyDescent="0.35">
      <c r="A98" s="2" t="s">
        <v>123</v>
      </c>
      <c r="B98" t="s">
        <v>118</v>
      </c>
      <c r="C98" t="s">
        <v>7</v>
      </c>
      <c r="E98" s="1">
        <v>3800</v>
      </c>
      <c r="F98" s="1">
        <f t="shared" si="1"/>
        <v>0</v>
      </c>
    </row>
    <row r="99" spans="1:6" hidden="1" x14ac:dyDescent="0.35">
      <c r="A99" s="2" t="s">
        <v>3</v>
      </c>
      <c r="B99" t="s">
        <v>71</v>
      </c>
      <c r="C99" t="s">
        <v>4</v>
      </c>
      <c r="E99" s="1">
        <v>3780</v>
      </c>
      <c r="F99" s="1">
        <f t="shared" si="1"/>
        <v>0</v>
      </c>
    </row>
    <row r="100" spans="1:6" hidden="1" x14ac:dyDescent="0.35">
      <c r="A100" s="2" t="s">
        <v>3</v>
      </c>
      <c r="B100" t="s">
        <v>85</v>
      </c>
      <c r="C100" t="s">
        <v>4</v>
      </c>
      <c r="E100" s="1">
        <v>1889</v>
      </c>
      <c r="F100" s="1">
        <f t="shared" si="1"/>
        <v>0</v>
      </c>
    </row>
    <row r="101" spans="1:6" hidden="1" x14ac:dyDescent="0.35">
      <c r="A101" s="2" t="s">
        <v>202</v>
      </c>
      <c r="B101" t="s">
        <v>204</v>
      </c>
      <c r="C101" t="s">
        <v>228</v>
      </c>
      <c r="E101" s="1">
        <v>930</v>
      </c>
      <c r="F101" s="1">
        <f t="shared" si="1"/>
        <v>0</v>
      </c>
    </row>
    <row r="102" spans="1:6" hidden="1" x14ac:dyDescent="0.35">
      <c r="A102" s="2" t="s">
        <v>3</v>
      </c>
      <c r="B102" t="s">
        <v>75</v>
      </c>
      <c r="C102" t="s">
        <v>7</v>
      </c>
      <c r="E102" s="1">
        <v>2628</v>
      </c>
      <c r="F102" s="1">
        <f t="shared" si="1"/>
        <v>0</v>
      </c>
    </row>
    <row r="103" spans="1:6" hidden="1" x14ac:dyDescent="0.35">
      <c r="A103" s="2" t="s">
        <v>6</v>
      </c>
      <c r="B103" t="s">
        <v>17</v>
      </c>
      <c r="C103" t="s">
        <v>7</v>
      </c>
      <c r="E103" s="1">
        <v>25000</v>
      </c>
      <c r="F103" s="1">
        <f t="shared" si="1"/>
        <v>0</v>
      </c>
    </row>
    <row r="104" spans="1:6" hidden="1" x14ac:dyDescent="0.35">
      <c r="A104" s="2" t="s">
        <v>19</v>
      </c>
      <c r="B104" t="s">
        <v>84</v>
      </c>
      <c r="C104" t="s">
        <v>4</v>
      </c>
      <c r="E104" s="1">
        <v>1860</v>
      </c>
      <c r="F104" s="1">
        <f t="shared" si="1"/>
        <v>0</v>
      </c>
    </row>
    <row r="105" spans="1:6" hidden="1" x14ac:dyDescent="0.35">
      <c r="A105" s="2" t="s">
        <v>122</v>
      </c>
      <c r="B105" t="s">
        <v>156</v>
      </c>
      <c r="C105" t="s">
        <v>4</v>
      </c>
      <c r="E105" s="1">
        <v>1000</v>
      </c>
      <c r="F105" s="1">
        <f t="shared" si="1"/>
        <v>0</v>
      </c>
    </row>
    <row r="106" spans="1:6" hidden="1" x14ac:dyDescent="0.35">
      <c r="A106" s="2" t="s">
        <v>10</v>
      </c>
      <c r="B106" t="s">
        <v>44</v>
      </c>
      <c r="C106" t="s">
        <v>4</v>
      </c>
      <c r="E106" s="1">
        <v>8990</v>
      </c>
      <c r="F106" s="1">
        <f t="shared" si="1"/>
        <v>0</v>
      </c>
    </row>
    <row r="107" spans="1:6" hidden="1" x14ac:dyDescent="0.35">
      <c r="A107" s="2" t="s">
        <v>3</v>
      </c>
      <c r="B107" t="s">
        <v>25</v>
      </c>
      <c r="C107" t="s">
        <v>4</v>
      </c>
      <c r="E107" s="1">
        <v>7983</v>
      </c>
      <c r="F107" s="1">
        <f t="shared" si="1"/>
        <v>0</v>
      </c>
    </row>
    <row r="108" spans="1:6" hidden="1" x14ac:dyDescent="0.35">
      <c r="A108" s="2" t="s">
        <v>202</v>
      </c>
      <c r="B108" t="s">
        <v>205</v>
      </c>
      <c r="C108" t="s">
        <v>228</v>
      </c>
      <c r="E108" s="1">
        <v>170</v>
      </c>
      <c r="F108" s="1">
        <f t="shared" si="1"/>
        <v>0</v>
      </c>
    </row>
    <row r="109" spans="1:6" hidden="1" x14ac:dyDescent="0.35">
      <c r="A109" s="2" t="s">
        <v>122</v>
      </c>
      <c r="B109" t="s">
        <v>162</v>
      </c>
      <c r="C109" t="s">
        <v>4</v>
      </c>
      <c r="E109" s="1">
        <v>600</v>
      </c>
      <c r="F109" s="1">
        <f t="shared" si="1"/>
        <v>0</v>
      </c>
    </row>
    <row r="110" spans="1:6" hidden="1" x14ac:dyDescent="0.35">
      <c r="A110" s="2" t="s">
        <v>3</v>
      </c>
      <c r="B110" t="s">
        <v>73</v>
      </c>
      <c r="C110" t="s">
        <v>4</v>
      </c>
      <c r="E110" s="1">
        <v>2530</v>
      </c>
      <c r="F110" s="1">
        <f t="shared" si="1"/>
        <v>0</v>
      </c>
    </row>
    <row r="111" spans="1:6" hidden="1" x14ac:dyDescent="0.35">
      <c r="A111" s="2" t="s">
        <v>11</v>
      </c>
      <c r="B111" t="s">
        <v>48</v>
      </c>
      <c r="C111" t="s">
        <v>4</v>
      </c>
      <c r="E111" s="1">
        <v>7460</v>
      </c>
      <c r="F111" s="1">
        <f t="shared" si="1"/>
        <v>0</v>
      </c>
    </row>
    <row r="112" spans="1:6" hidden="1" x14ac:dyDescent="0.35">
      <c r="A112" s="2" t="s">
        <v>3</v>
      </c>
      <c r="B112" t="s">
        <v>68</v>
      </c>
      <c r="C112" t="s">
        <v>7</v>
      </c>
      <c r="E112" s="1">
        <v>2630</v>
      </c>
      <c r="F112" s="1">
        <f t="shared" si="1"/>
        <v>0</v>
      </c>
    </row>
    <row r="113" spans="1:6" hidden="1" x14ac:dyDescent="0.35">
      <c r="A113" s="2" t="s">
        <v>123</v>
      </c>
      <c r="B113" t="s">
        <v>148</v>
      </c>
      <c r="C113" t="s">
        <v>7</v>
      </c>
      <c r="E113" s="1">
        <v>1800</v>
      </c>
      <c r="F113" s="1">
        <f t="shared" si="1"/>
        <v>0</v>
      </c>
    </row>
    <row r="114" spans="1:6" hidden="1" x14ac:dyDescent="0.35">
      <c r="A114" s="2" t="s">
        <v>3</v>
      </c>
      <c r="B114" t="s">
        <v>50</v>
      </c>
      <c r="C114" t="s">
        <v>5</v>
      </c>
      <c r="E114" s="1">
        <v>4760</v>
      </c>
      <c r="F114" s="1">
        <f t="shared" si="1"/>
        <v>0</v>
      </c>
    </row>
    <row r="115" spans="1:6" hidden="1" x14ac:dyDescent="0.35">
      <c r="A115" s="2" t="s">
        <v>3</v>
      </c>
      <c r="B115" t="s">
        <v>70</v>
      </c>
      <c r="C115" t="s">
        <v>7</v>
      </c>
      <c r="E115" s="1">
        <v>2364</v>
      </c>
      <c r="F115" s="1">
        <f t="shared" si="1"/>
        <v>0</v>
      </c>
    </row>
    <row r="116" spans="1:6" hidden="1" x14ac:dyDescent="0.35">
      <c r="A116" s="2" t="s">
        <v>6</v>
      </c>
      <c r="B116" t="s">
        <v>8</v>
      </c>
      <c r="C116" t="s">
        <v>4</v>
      </c>
      <c r="E116" s="1">
        <v>6950</v>
      </c>
      <c r="F116" s="1">
        <f t="shared" si="1"/>
        <v>0</v>
      </c>
    </row>
    <row r="117" spans="1:6" hidden="1" x14ac:dyDescent="0.35">
      <c r="A117" s="2" t="s">
        <v>123</v>
      </c>
      <c r="B117" t="s">
        <v>147</v>
      </c>
      <c r="C117" t="s">
        <v>7</v>
      </c>
      <c r="E117" s="1">
        <v>1690</v>
      </c>
      <c r="F117" s="1">
        <f t="shared" si="1"/>
        <v>0</v>
      </c>
    </row>
    <row r="118" spans="1:6" hidden="1" x14ac:dyDescent="0.35">
      <c r="A118" s="2" t="s">
        <v>3</v>
      </c>
      <c r="B118" t="s">
        <v>81</v>
      </c>
      <c r="C118" t="s">
        <v>4</v>
      </c>
      <c r="E118" s="1">
        <v>1350</v>
      </c>
      <c r="F118" s="1">
        <f t="shared" si="1"/>
        <v>0</v>
      </c>
    </row>
    <row r="119" spans="1:6" hidden="1" x14ac:dyDescent="0.35">
      <c r="A119" s="2" t="s">
        <v>122</v>
      </c>
      <c r="B119" t="s">
        <v>133</v>
      </c>
      <c r="C119" t="s">
        <v>131</v>
      </c>
      <c r="E119" s="1">
        <v>6500</v>
      </c>
      <c r="F119" s="1">
        <f t="shared" si="1"/>
        <v>0</v>
      </c>
    </row>
    <row r="120" spans="1:6" hidden="1" x14ac:dyDescent="0.35">
      <c r="A120" s="2" t="s">
        <v>202</v>
      </c>
      <c r="B120" t="s">
        <v>221</v>
      </c>
      <c r="C120" t="s">
        <v>228</v>
      </c>
      <c r="E120" s="1">
        <v>2035</v>
      </c>
      <c r="F120" s="1">
        <f t="shared" si="1"/>
        <v>0</v>
      </c>
    </row>
    <row r="121" spans="1:6" hidden="1" x14ac:dyDescent="0.35">
      <c r="A121" s="2" t="s">
        <v>10</v>
      </c>
      <c r="B121" t="s">
        <v>79</v>
      </c>
      <c r="C121" t="s">
        <v>4</v>
      </c>
      <c r="E121" s="1">
        <v>1500</v>
      </c>
      <c r="F121" s="1">
        <f t="shared" si="1"/>
        <v>0</v>
      </c>
    </row>
    <row r="122" spans="1:6" hidden="1" x14ac:dyDescent="0.35">
      <c r="A122" s="2" t="s">
        <v>3</v>
      </c>
      <c r="B122" t="s">
        <v>64</v>
      </c>
      <c r="C122" t="s">
        <v>4</v>
      </c>
      <c r="E122" s="1">
        <v>2860</v>
      </c>
      <c r="F122" s="1">
        <f t="shared" si="1"/>
        <v>0</v>
      </c>
    </row>
    <row r="123" spans="1:6" hidden="1" x14ac:dyDescent="0.35">
      <c r="A123" s="2" t="s">
        <v>3</v>
      </c>
      <c r="B123" t="s">
        <v>29</v>
      </c>
      <c r="C123" t="s">
        <v>4</v>
      </c>
      <c r="E123" s="1">
        <v>5670</v>
      </c>
      <c r="F123" s="1">
        <f t="shared" si="1"/>
        <v>0</v>
      </c>
    </row>
    <row r="124" spans="1:6" hidden="1" x14ac:dyDescent="0.35">
      <c r="A124" s="2" t="s">
        <v>3</v>
      </c>
      <c r="B124" t="s">
        <v>80</v>
      </c>
      <c r="C124" t="s">
        <v>4</v>
      </c>
      <c r="E124" s="1">
        <v>1120</v>
      </c>
      <c r="F124" s="1">
        <f t="shared" si="1"/>
        <v>0</v>
      </c>
    </row>
    <row r="125" spans="1:6" hidden="1" x14ac:dyDescent="0.35">
      <c r="A125" s="2" t="s">
        <v>122</v>
      </c>
      <c r="B125" t="s">
        <v>159</v>
      </c>
      <c r="C125" t="s">
        <v>4</v>
      </c>
      <c r="E125" s="1">
        <v>550</v>
      </c>
      <c r="F125" s="1">
        <f t="shared" si="1"/>
        <v>0</v>
      </c>
    </row>
    <row r="126" spans="1:6" hidden="1" x14ac:dyDescent="0.35">
      <c r="A126" s="2" t="s">
        <v>202</v>
      </c>
      <c r="B126" t="s">
        <v>212</v>
      </c>
      <c r="C126" t="s">
        <v>229</v>
      </c>
      <c r="E126" s="1">
        <v>4650</v>
      </c>
      <c r="F126" s="1">
        <f t="shared" si="1"/>
        <v>0</v>
      </c>
    </row>
    <row r="127" spans="1:6" hidden="1" x14ac:dyDescent="0.35">
      <c r="A127" s="2" t="s">
        <v>6</v>
      </c>
      <c r="B127" t="s">
        <v>59</v>
      </c>
      <c r="C127" t="s">
        <v>4</v>
      </c>
      <c r="E127" s="1">
        <v>2280</v>
      </c>
      <c r="F127" s="1">
        <f t="shared" si="1"/>
        <v>0</v>
      </c>
    </row>
    <row r="128" spans="1:6" hidden="1" x14ac:dyDescent="0.35">
      <c r="A128" s="2" t="s">
        <v>19</v>
      </c>
      <c r="B128" t="s">
        <v>37</v>
      </c>
      <c r="C128" t="s">
        <v>4</v>
      </c>
      <c r="E128" s="1">
        <v>4500</v>
      </c>
      <c r="F128" s="1">
        <f t="shared" si="1"/>
        <v>0</v>
      </c>
    </row>
    <row r="129" spans="1:6" hidden="1" x14ac:dyDescent="0.35">
      <c r="A129" s="2" t="s">
        <v>122</v>
      </c>
      <c r="B129" t="s">
        <v>145</v>
      </c>
      <c r="C129" t="s">
        <v>131</v>
      </c>
      <c r="E129" s="1">
        <v>1500</v>
      </c>
      <c r="F129" s="1">
        <f t="shared" si="1"/>
        <v>0</v>
      </c>
    </row>
    <row r="130" spans="1:6" hidden="1" x14ac:dyDescent="0.35">
      <c r="A130" s="2" t="s">
        <v>3</v>
      </c>
      <c r="B130" t="s">
        <v>16</v>
      </c>
      <c r="C130" t="s">
        <v>5</v>
      </c>
      <c r="E130" s="1">
        <v>12489</v>
      </c>
      <c r="F130" s="1">
        <f t="shared" ref="F130:F193" si="2">+E130*D130</f>
        <v>0</v>
      </c>
    </row>
    <row r="131" spans="1:6" hidden="1" x14ac:dyDescent="0.35">
      <c r="A131" s="2" t="s">
        <v>122</v>
      </c>
      <c r="B131" t="s">
        <v>129</v>
      </c>
      <c r="C131" t="s">
        <v>7</v>
      </c>
      <c r="E131" s="1">
        <v>4000</v>
      </c>
      <c r="F131" s="1">
        <f t="shared" si="2"/>
        <v>0</v>
      </c>
    </row>
    <row r="132" spans="1:6" hidden="1" x14ac:dyDescent="0.35">
      <c r="A132" s="2" t="s">
        <v>122</v>
      </c>
      <c r="B132" t="s">
        <v>139</v>
      </c>
      <c r="C132" t="s">
        <v>7</v>
      </c>
      <c r="E132" s="1">
        <v>2200</v>
      </c>
      <c r="F132" s="1">
        <f t="shared" si="2"/>
        <v>0</v>
      </c>
    </row>
    <row r="133" spans="1:6" hidden="1" x14ac:dyDescent="0.35">
      <c r="A133" s="2" t="s">
        <v>3</v>
      </c>
      <c r="B133" t="s">
        <v>52</v>
      </c>
      <c r="C133" t="s">
        <v>7</v>
      </c>
      <c r="E133" s="1">
        <v>1890</v>
      </c>
      <c r="F133" s="1">
        <f t="shared" si="2"/>
        <v>0</v>
      </c>
    </row>
    <row r="134" spans="1:6" hidden="1" x14ac:dyDescent="0.35">
      <c r="A134" s="2" t="s">
        <v>122</v>
      </c>
      <c r="B134" t="s">
        <v>143</v>
      </c>
      <c r="C134" t="s">
        <v>7</v>
      </c>
      <c r="E134" s="1">
        <v>1690</v>
      </c>
      <c r="F134" s="1">
        <f t="shared" si="2"/>
        <v>0</v>
      </c>
    </row>
    <row r="135" spans="1:6" hidden="1" x14ac:dyDescent="0.35">
      <c r="A135" s="2" t="s">
        <v>3</v>
      </c>
      <c r="B135" t="s">
        <v>54</v>
      </c>
      <c r="C135" t="s">
        <v>7</v>
      </c>
      <c r="E135" s="1">
        <v>1800</v>
      </c>
      <c r="F135" s="1">
        <f t="shared" si="2"/>
        <v>0</v>
      </c>
    </row>
    <row r="136" spans="1:6" hidden="1" x14ac:dyDescent="0.35">
      <c r="A136" s="2" t="s">
        <v>123</v>
      </c>
      <c r="B136" t="s">
        <v>137</v>
      </c>
      <c r="C136" t="s">
        <v>7</v>
      </c>
      <c r="E136" s="1">
        <v>2500</v>
      </c>
      <c r="F136" s="1">
        <f t="shared" si="2"/>
        <v>0</v>
      </c>
    </row>
    <row r="137" spans="1:6" hidden="1" x14ac:dyDescent="0.35">
      <c r="A137" s="2" t="s">
        <v>122</v>
      </c>
      <c r="B137" t="s">
        <v>134</v>
      </c>
      <c r="C137" t="s">
        <v>131</v>
      </c>
      <c r="E137" s="1">
        <v>3500</v>
      </c>
      <c r="F137" s="1">
        <f t="shared" si="2"/>
        <v>0</v>
      </c>
    </row>
    <row r="138" spans="1:6" hidden="1" x14ac:dyDescent="0.35">
      <c r="A138" s="2" t="s">
        <v>3</v>
      </c>
      <c r="B138" t="s">
        <v>30</v>
      </c>
      <c r="C138" t="s">
        <v>7</v>
      </c>
      <c r="E138" s="1">
        <v>3450</v>
      </c>
      <c r="F138" s="1">
        <f t="shared" si="2"/>
        <v>0</v>
      </c>
    </row>
    <row r="139" spans="1:6" hidden="1" x14ac:dyDescent="0.35">
      <c r="A139" s="2" t="s">
        <v>6</v>
      </c>
      <c r="B139" t="s">
        <v>18</v>
      </c>
      <c r="C139" t="s">
        <v>7</v>
      </c>
      <c r="E139" s="1">
        <v>6800</v>
      </c>
      <c r="F139" s="1">
        <f t="shared" si="2"/>
        <v>0</v>
      </c>
    </row>
    <row r="140" spans="1:6" hidden="1" x14ac:dyDescent="0.35">
      <c r="A140" s="2" t="s">
        <v>6</v>
      </c>
      <c r="B140" t="s">
        <v>62</v>
      </c>
      <c r="C140" t="s">
        <v>4</v>
      </c>
      <c r="E140" s="1">
        <v>1610</v>
      </c>
      <c r="F140" s="1">
        <f t="shared" si="2"/>
        <v>0</v>
      </c>
    </row>
    <row r="141" spans="1:6" hidden="1" x14ac:dyDescent="0.35">
      <c r="A141" s="2" t="s">
        <v>3</v>
      </c>
      <c r="B141" t="s">
        <v>23</v>
      </c>
      <c r="C141" t="s">
        <v>4</v>
      </c>
      <c r="E141" s="1">
        <v>3190</v>
      </c>
      <c r="F141" s="1">
        <f t="shared" si="2"/>
        <v>0</v>
      </c>
    </row>
    <row r="142" spans="1:6" hidden="1" x14ac:dyDescent="0.35">
      <c r="A142" s="2" t="s">
        <v>122</v>
      </c>
      <c r="B142" t="s">
        <v>130</v>
      </c>
      <c r="C142" t="s">
        <v>131</v>
      </c>
      <c r="E142" s="1">
        <v>3000</v>
      </c>
      <c r="F142" s="1">
        <f t="shared" si="2"/>
        <v>0</v>
      </c>
    </row>
    <row r="143" spans="1:6" hidden="1" x14ac:dyDescent="0.35">
      <c r="A143" s="2" t="s">
        <v>122</v>
      </c>
      <c r="B143" t="s">
        <v>140</v>
      </c>
      <c r="C143" t="s">
        <v>4</v>
      </c>
      <c r="E143" s="1">
        <v>1500</v>
      </c>
      <c r="F143" s="1">
        <f t="shared" si="2"/>
        <v>0</v>
      </c>
    </row>
    <row r="144" spans="1:6" hidden="1" x14ac:dyDescent="0.35">
      <c r="A144" s="2" t="s">
        <v>122</v>
      </c>
      <c r="B144" t="s">
        <v>151</v>
      </c>
      <c r="C144" t="s">
        <v>4</v>
      </c>
      <c r="E144" s="1">
        <v>600</v>
      </c>
      <c r="F144" s="1">
        <f t="shared" si="2"/>
        <v>0</v>
      </c>
    </row>
    <row r="145" spans="1:6" hidden="1" x14ac:dyDescent="0.35">
      <c r="A145" s="2" t="s">
        <v>3</v>
      </c>
      <c r="B145" t="s">
        <v>34</v>
      </c>
      <c r="C145" t="s">
        <v>7</v>
      </c>
      <c r="E145" s="1">
        <v>2940</v>
      </c>
      <c r="F145" s="1">
        <f t="shared" si="2"/>
        <v>0</v>
      </c>
    </row>
    <row r="146" spans="1:6" hidden="1" x14ac:dyDescent="0.35">
      <c r="A146" s="2" t="s">
        <v>202</v>
      </c>
      <c r="B146" t="s">
        <v>224</v>
      </c>
      <c r="C146" t="s">
        <v>228</v>
      </c>
      <c r="E146" s="1">
        <v>230</v>
      </c>
      <c r="F146" s="1">
        <f t="shared" si="2"/>
        <v>0</v>
      </c>
    </row>
    <row r="147" spans="1:6" hidden="1" x14ac:dyDescent="0.35">
      <c r="A147" s="2" t="s">
        <v>123</v>
      </c>
      <c r="B147" t="s">
        <v>142</v>
      </c>
      <c r="C147" t="s">
        <v>7</v>
      </c>
      <c r="E147" s="1">
        <v>1300</v>
      </c>
      <c r="F147" s="1">
        <f t="shared" si="2"/>
        <v>0</v>
      </c>
    </row>
    <row r="148" spans="1:6" hidden="1" x14ac:dyDescent="0.35">
      <c r="A148" s="2" t="s">
        <v>3</v>
      </c>
      <c r="B148" t="s">
        <v>26</v>
      </c>
      <c r="C148" t="s">
        <v>4</v>
      </c>
      <c r="E148" s="1">
        <v>2730</v>
      </c>
      <c r="F148" s="1">
        <f t="shared" si="2"/>
        <v>0</v>
      </c>
    </row>
    <row r="149" spans="1:6" hidden="1" x14ac:dyDescent="0.35">
      <c r="A149" s="2" t="s">
        <v>10</v>
      </c>
      <c r="B149" t="s">
        <v>46</v>
      </c>
      <c r="C149" t="s">
        <v>4</v>
      </c>
      <c r="E149" s="1">
        <v>2713</v>
      </c>
      <c r="F149" s="1">
        <f t="shared" si="2"/>
        <v>0</v>
      </c>
    </row>
    <row r="150" spans="1:6" hidden="1" x14ac:dyDescent="0.35">
      <c r="A150" s="2" t="s">
        <v>3</v>
      </c>
      <c r="B150" t="s">
        <v>32</v>
      </c>
      <c r="C150" t="s">
        <v>4</v>
      </c>
      <c r="E150" s="1">
        <v>2530</v>
      </c>
      <c r="F150" s="1">
        <f t="shared" si="2"/>
        <v>0</v>
      </c>
    </row>
    <row r="151" spans="1:6" hidden="1" x14ac:dyDescent="0.35">
      <c r="A151" s="2" t="s">
        <v>122</v>
      </c>
      <c r="B151" t="s">
        <v>135</v>
      </c>
      <c r="C151" t="s">
        <v>131</v>
      </c>
      <c r="E151" s="1">
        <v>2500</v>
      </c>
      <c r="F151" s="1">
        <f t="shared" si="2"/>
        <v>0</v>
      </c>
    </row>
    <row r="152" spans="1:6" hidden="1" x14ac:dyDescent="0.35">
      <c r="A152" s="2" t="s">
        <v>19</v>
      </c>
      <c r="B152" t="s">
        <v>38</v>
      </c>
      <c r="C152" t="s">
        <v>4</v>
      </c>
      <c r="E152" s="1">
        <v>2334</v>
      </c>
      <c r="F152" s="1">
        <f t="shared" si="2"/>
        <v>0</v>
      </c>
    </row>
    <row r="153" spans="1:6" hidden="1" x14ac:dyDescent="0.35">
      <c r="A153" s="2" t="s">
        <v>122</v>
      </c>
      <c r="B153" t="s">
        <v>146</v>
      </c>
      <c r="C153" t="s">
        <v>7</v>
      </c>
      <c r="E153" s="1">
        <v>750</v>
      </c>
      <c r="F153" s="1">
        <f t="shared" si="2"/>
        <v>0</v>
      </c>
    </row>
    <row r="154" spans="1:6" hidden="1" x14ac:dyDescent="0.35">
      <c r="A154" s="2" t="s">
        <v>3</v>
      </c>
      <c r="B154" t="s">
        <v>112</v>
      </c>
      <c r="C154" t="s">
        <v>5</v>
      </c>
      <c r="E154" s="1">
        <v>4520</v>
      </c>
      <c r="F154" s="1">
        <f t="shared" si="2"/>
        <v>0</v>
      </c>
    </row>
    <row r="155" spans="1:6" hidden="1" x14ac:dyDescent="0.35">
      <c r="A155" s="2" t="s">
        <v>6</v>
      </c>
      <c r="B155" t="s">
        <v>125</v>
      </c>
      <c r="C155" t="s">
        <v>7</v>
      </c>
      <c r="E155" s="1">
        <v>4500</v>
      </c>
      <c r="F155" s="1">
        <f t="shared" si="2"/>
        <v>0</v>
      </c>
    </row>
    <row r="156" spans="1:6" hidden="1" x14ac:dyDescent="0.35">
      <c r="A156" s="2" t="s">
        <v>122</v>
      </c>
      <c r="B156" t="s">
        <v>124</v>
      </c>
      <c r="C156" t="s">
        <v>7</v>
      </c>
      <c r="E156" s="1">
        <v>4000</v>
      </c>
      <c r="F156" s="1">
        <f t="shared" si="2"/>
        <v>0</v>
      </c>
    </row>
    <row r="157" spans="1:6" hidden="1" x14ac:dyDescent="0.35">
      <c r="A157" s="2" t="s">
        <v>202</v>
      </c>
      <c r="B157" t="s">
        <v>210</v>
      </c>
      <c r="C157" t="s">
        <v>228</v>
      </c>
      <c r="E157" s="1">
        <v>1470</v>
      </c>
      <c r="F157" s="1">
        <f t="shared" si="2"/>
        <v>0</v>
      </c>
    </row>
    <row r="158" spans="1:6" hidden="1" x14ac:dyDescent="0.35">
      <c r="A158" s="2" t="s">
        <v>202</v>
      </c>
      <c r="B158" t="s">
        <v>225</v>
      </c>
      <c r="C158" t="s">
        <v>228</v>
      </c>
      <c r="E158" s="1">
        <v>1190</v>
      </c>
      <c r="F158" s="1">
        <f t="shared" si="2"/>
        <v>0</v>
      </c>
    </row>
    <row r="159" spans="1:6" hidden="1" x14ac:dyDescent="0.35">
      <c r="A159" s="2" t="s">
        <v>202</v>
      </c>
      <c r="B159" t="s">
        <v>209</v>
      </c>
      <c r="C159" t="s">
        <v>228</v>
      </c>
      <c r="E159" s="1">
        <v>1030</v>
      </c>
      <c r="F159" s="1">
        <f t="shared" si="2"/>
        <v>0</v>
      </c>
    </row>
    <row r="160" spans="1:6" hidden="1" x14ac:dyDescent="0.35">
      <c r="A160" s="2" t="s">
        <v>6</v>
      </c>
      <c r="B160" t="s">
        <v>149</v>
      </c>
      <c r="C160" t="s">
        <v>4</v>
      </c>
      <c r="E160" s="1">
        <v>200</v>
      </c>
      <c r="F160" s="1">
        <f t="shared" si="2"/>
        <v>0</v>
      </c>
    </row>
    <row r="161" spans="1:6" hidden="1" x14ac:dyDescent="0.35">
      <c r="A161" s="2" t="s">
        <v>122</v>
      </c>
      <c r="B161" t="s">
        <v>126</v>
      </c>
      <c r="C161" t="s">
        <v>4</v>
      </c>
      <c r="E161" s="1">
        <v>2000</v>
      </c>
      <c r="F161" s="1">
        <f t="shared" si="2"/>
        <v>0</v>
      </c>
    </row>
    <row r="162" spans="1:6" hidden="1" x14ac:dyDescent="0.35">
      <c r="A162" s="2" t="s">
        <v>122</v>
      </c>
      <c r="B162" t="s">
        <v>132</v>
      </c>
      <c r="C162" t="s">
        <v>131</v>
      </c>
      <c r="E162" s="1">
        <v>1000</v>
      </c>
      <c r="F162" s="1">
        <f t="shared" si="2"/>
        <v>0</v>
      </c>
    </row>
    <row r="163" spans="1:6" hidden="1" x14ac:dyDescent="0.35">
      <c r="A163" s="2" t="s">
        <v>3</v>
      </c>
      <c r="B163" t="s">
        <v>24</v>
      </c>
      <c r="C163" t="s">
        <v>4</v>
      </c>
      <c r="E163" s="1"/>
      <c r="F163" s="1">
        <f t="shared" si="2"/>
        <v>0</v>
      </c>
    </row>
    <row r="164" spans="1:6" hidden="1" x14ac:dyDescent="0.35">
      <c r="A164" s="2" t="s">
        <v>3</v>
      </c>
      <c r="B164" t="s">
        <v>27</v>
      </c>
      <c r="C164" t="s">
        <v>4</v>
      </c>
      <c r="E164" s="1"/>
      <c r="F164" s="1">
        <f t="shared" si="2"/>
        <v>0</v>
      </c>
    </row>
    <row r="165" spans="1:6" hidden="1" x14ac:dyDescent="0.35">
      <c r="A165" s="2" t="s">
        <v>3</v>
      </c>
      <c r="B165" t="s">
        <v>28</v>
      </c>
      <c r="C165" t="s">
        <v>4</v>
      </c>
      <c r="E165" s="1"/>
      <c r="F165" s="1">
        <f t="shared" si="2"/>
        <v>0</v>
      </c>
    </row>
    <row r="166" spans="1:6" hidden="1" x14ac:dyDescent="0.35">
      <c r="A166" s="2" t="s">
        <v>3</v>
      </c>
      <c r="B166" t="s">
        <v>31</v>
      </c>
      <c r="C166" t="s">
        <v>4</v>
      </c>
      <c r="E166" s="1"/>
      <c r="F166" s="1">
        <f t="shared" si="2"/>
        <v>0</v>
      </c>
    </row>
    <row r="167" spans="1:6" hidden="1" x14ac:dyDescent="0.35">
      <c r="A167" s="2" t="s">
        <v>3</v>
      </c>
      <c r="B167" t="s">
        <v>33</v>
      </c>
      <c r="C167" t="s">
        <v>4</v>
      </c>
      <c r="E167" s="1"/>
      <c r="F167" s="1">
        <f t="shared" si="2"/>
        <v>0</v>
      </c>
    </row>
    <row r="168" spans="1:6" hidden="1" x14ac:dyDescent="0.35">
      <c r="A168" s="2" t="s">
        <v>3</v>
      </c>
      <c r="B168" t="s">
        <v>53</v>
      </c>
      <c r="C168" t="s">
        <v>7</v>
      </c>
      <c r="E168" s="1"/>
      <c r="F168" s="1">
        <f t="shared" si="2"/>
        <v>0</v>
      </c>
    </row>
    <row r="169" spans="1:6" hidden="1" x14ac:dyDescent="0.35">
      <c r="A169" s="2" t="s">
        <v>3</v>
      </c>
      <c r="B169" t="s">
        <v>55</v>
      </c>
      <c r="C169" t="s">
        <v>4</v>
      </c>
      <c r="E169" s="1"/>
      <c r="F169" s="1">
        <f t="shared" si="2"/>
        <v>0</v>
      </c>
    </row>
    <row r="170" spans="1:6" hidden="1" x14ac:dyDescent="0.35">
      <c r="A170" s="2" t="s">
        <v>3</v>
      </c>
      <c r="B170" t="s">
        <v>65</v>
      </c>
      <c r="C170" t="s">
        <v>4</v>
      </c>
      <c r="E170" s="1"/>
      <c r="F170" s="1">
        <f t="shared" si="2"/>
        <v>0</v>
      </c>
    </row>
    <row r="171" spans="1:6" hidden="1" x14ac:dyDescent="0.35">
      <c r="A171" s="2" t="s">
        <v>3</v>
      </c>
      <c r="B171" t="s">
        <v>67</v>
      </c>
      <c r="C171" t="s">
        <v>7</v>
      </c>
      <c r="E171" s="1"/>
      <c r="F171" s="1">
        <f t="shared" si="2"/>
        <v>0</v>
      </c>
    </row>
    <row r="172" spans="1:6" hidden="1" x14ac:dyDescent="0.35">
      <c r="A172" s="2" t="s">
        <v>3</v>
      </c>
      <c r="B172" t="s">
        <v>72</v>
      </c>
      <c r="C172" t="s">
        <v>4</v>
      </c>
      <c r="E172" s="1"/>
      <c r="F172" s="1">
        <f t="shared" si="2"/>
        <v>0</v>
      </c>
    </row>
    <row r="173" spans="1:6" hidden="1" x14ac:dyDescent="0.35">
      <c r="A173" s="2" t="s">
        <v>3</v>
      </c>
      <c r="B173" t="s">
        <v>74</v>
      </c>
      <c r="C173" t="s">
        <v>7</v>
      </c>
      <c r="E173" s="1"/>
      <c r="F173" s="1">
        <f t="shared" si="2"/>
        <v>0</v>
      </c>
    </row>
    <row r="174" spans="1:6" hidden="1" x14ac:dyDescent="0.35">
      <c r="A174" s="2" t="s">
        <v>202</v>
      </c>
      <c r="B174" t="s">
        <v>213</v>
      </c>
      <c r="C174" t="s">
        <v>229</v>
      </c>
      <c r="E174" s="1">
        <v>4650</v>
      </c>
      <c r="F174" s="1">
        <f t="shared" si="2"/>
        <v>0</v>
      </c>
    </row>
    <row r="175" spans="1:6" hidden="1" x14ac:dyDescent="0.35">
      <c r="A175" s="2" t="s">
        <v>202</v>
      </c>
      <c r="B175" t="s">
        <v>203</v>
      </c>
      <c r="C175" t="s">
        <v>228</v>
      </c>
      <c r="E175" s="1"/>
      <c r="F175" s="1">
        <f t="shared" si="2"/>
        <v>0</v>
      </c>
    </row>
    <row r="176" spans="1:6" hidden="1" x14ac:dyDescent="0.35">
      <c r="A176" s="2" t="s">
        <v>202</v>
      </c>
      <c r="B176" t="s">
        <v>207</v>
      </c>
      <c r="C176" t="s">
        <v>228</v>
      </c>
      <c r="E176" s="1"/>
      <c r="F176" s="1">
        <f t="shared" si="2"/>
        <v>0</v>
      </c>
    </row>
    <row r="177" spans="1:6" hidden="1" x14ac:dyDescent="0.35">
      <c r="A177" s="2" t="s">
        <v>202</v>
      </c>
      <c r="B177" t="s">
        <v>211</v>
      </c>
      <c r="C177" t="s">
        <v>228</v>
      </c>
      <c r="E177" s="1"/>
      <c r="F177" s="1">
        <f t="shared" si="2"/>
        <v>0</v>
      </c>
    </row>
    <row r="178" spans="1:6" hidden="1" x14ac:dyDescent="0.35">
      <c r="A178" s="2" t="s">
        <v>202</v>
      </c>
      <c r="B178" t="s">
        <v>214</v>
      </c>
      <c r="C178" t="s">
        <v>228</v>
      </c>
      <c r="E178" s="1"/>
      <c r="F178" s="1">
        <f t="shared" si="2"/>
        <v>0</v>
      </c>
    </row>
    <row r="179" spans="1:6" hidden="1" x14ac:dyDescent="0.35">
      <c r="A179" s="2" t="s">
        <v>202</v>
      </c>
      <c r="B179" t="s">
        <v>215</v>
      </c>
      <c r="C179" t="s">
        <v>228</v>
      </c>
      <c r="E179" s="1"/>
      <c r="F179" s="1">
        <f t="shared" si="2"/>
        <v>0</v>
      </c>
    </row>
    <row r="180" spans="1:6" hidden="1" x14ac:dyDescent="0.35">
      <c r="A180" s="2" t="s">
        <v>202</v>
      </c>
      <c r="B180" t="s">
        <v>216</v>
      </c>
      <c r="C180" t="s">
        <v>228</v>
      </c>
      <c r="E180" s="1"/>
      <c r="F180" s="1">
        <f t="shared" si="2"/>
        <v>0</v>
      </c>
    </row>
    <row r="181" spans="1:6" hidden="1" x14ac:dyDescent="0.35">
      <c r="A181" s="2" t="s">
        <v>202</v>
      </c>
      <c r="B181" t="s">
        <v>217</v>
      </c>
      <c r="C181" t="s">
        <v>228</v>
      </c>
      <c r="E181" s="1"/>
      <c r="F181" s="1">
        <f t="shared" si="2"/>
        <v>0</v>
      </c>
    </row>
    <row r="182" spans="1:6" hidden="1" x14ac:dyDescent="0.35">
      <c r="A182" s="2" t="s">
        <v>202</v>
      </c>
      <c r="B182" t="s">
        <v>218</v>
      </c>
      <c r="C182" t="s">
        <v>228</v>
      </c>
      <c r="E182" s="1"/>
      <c r="F182" s="1">
        <f t="shared" si="2"/>
        <v>0</v>
      </c>
    </row>
    <row r="183" spans="1:6" hidden="1" x14ac:dyDescent="0.35">
      <c r="A183" s="2" t="s">
        <v>202</v>
      </c>
      <c r="B183" t="s">
        <v>219</v>
      </c>
      <c r="C183" t="s">
        <v>228</v>
      </c>
      <c r="E183" s="1"/>
      <c r="F183" s="1">
        <f t="shared" si="2"/>
        <v>0</v>
      </c>
    </row>
    <row r="184" spans="1:6" hidden="1" x14ac:dyDescent="0.35">
      <c r="A184" s="2" t="s">
        <v>202</v>
      </c>
      <c r="B184" t="s">
        <v>220</v>
      </c>
      <c r="C184" t="s">
        <v>228</v>
      </c>
      <c r="E184" s="1"/>
      <c r="F184" s="1">
        <f t="shared" si="2"/>
        <v>0</v>
      </c>
    </row>
    <row r="185" spans="1:6" hidden="1" x14ac:dyDescent="0.35">
      <c r="A185" s="2" t="s">
        <v>202</v>
      </c>
      <c r="B185" t="s">
        <v>223</v>
      </c>
      <c r="C185" t="s">
        <v>228</v>
      </c>
      <c r="E185" s="1"/>
      <c r="F185" s="1">
        <f t="shared" si="2"/>
        <v>0</v>
      </c>
    </row>
    <row r="186" spans="1:6" hidden="1" x14ac:dyDescent="0.35">
      <c r="A186" s="2" t="s">
        <v>19</v>
      </c>
      <c r="B186" t="s">
        <v>20</v>
      </c>
      <c r="C186" t="s">
        <v>7</v>
      </c>
      <c r="E186" s="1"/>
      <c r="F186" s="1">
        <f t="shared" si="2"/>
        <v>0</v>
      </c>
    </row>
    <row r="187" spans="1:6" hidden="1" x14ac:dyDescent="0.35">
      <c r="A187" s="2" t="s">
        <v>6</v>
      </c>
      <c r="B187" t="s">
        <v>12</v>
      </c>
      <c r="C187" t="s">
        <v>7</v>
      </c>
      <c r="E187" s="1"/>
      <c r="F187" s="1">
        <f t="shared" si="2"/>
        <v>0</v>
      </c>
    </row>
    <row r="188" spans="1:6" hidden="1" x14ac:dyDescent="0.35">
      <c r="A188" s="2" t="s">
        <v>6</v>
      </c>
      <c r="B188" t="s">
        <v>13</v>
      </c>
      <c r="C188" t="s">
        <v>7</v>
      </c>
      <c r="E188" s="1"/>
      <c r="F188" s="1">
        <f t="shared" si="2"/>
        <v>0</v>
      </c>
    </row>
    <row r="189" spans="1:6" hidden="1" x14ac:dyDescent="0.35">
      <c r="A189" s="2" t="s">
        <v>6</v>
      </c>
      <c r="B189" t="s">
        <v>14</v>
      </c>
      <c r="C189" t="s">
        <v>7</v>
      </c>
      <c r="E189" s="1"/>
      <c r="F189" s="1">
        <f t="shared" si="2"/>
        <v>0</v>
      </c>
    </row>
    <row r="190" spans="1:6" hidden="1" x14ac:dyDescent="0.35">
      <c r="A190" s="2" t="s">
        <v>6</v>
      </c>
      <c r="B190" t="s">
        <v>15</v>
      </c>
      <c r="C190" t="s">
        <v>7</v>
      </c>
      <c r="E190" s="1"/>
      <c r="F190" s="1">
        <f t="shared" si="2"/>
        <v>0</v>
      </c>
    </row>
    <row r="191" spans="1:6" hidden="1" x14ac:dyDescent="0.35">
      <c r="A191" s="2" t="s">
        <v>6</v>
      </c>
      <c r="B191" t="s">
        <v>21</v>
      </c>
      <c r="C191" t="s">
        <v>7</v>
      </c>
      <c r="E191" s="1"/>
      <c r="F191" s="1">
        <f t="shared" si="2"/>
        <v>0</v>
      </c>
    </row>
    <row r="192" spans="1:6" hidden="1" x14ac:dyDescent="0.35">
      <c r="A192" s="2" t="s">
        <v>6</v>
      </c>
      <c r="B192" t="s">
        <v>39</v>
      </c>
      <c r="C192" t="s">
        <v>7</v>
      </c>
      <c r="E192" s="1"/>
      <c r="F192" s="1">
        <f t="shared" si="2"/>
        <v>0</v>
      </c>
    </row>
    <row r="193" spans="1:6" hidden="1" x14ac:dyDescent="0.35">
      <c r="A193" s="2" t="s">
        <v>6</v>
      </c>
      <c r="B193" t="s">
        <v>40</v>
      </c>
      <c r="C193" t="s">
        <v>7</v>
      </c>
      <c r="E193" s="1"/>
      <c r="F193" s="1">
        <f t="shared" si="2"/>
        <v>0</v>
      </c>
    </row>
    <row r="194" spans="1:6" hidden="1" x14ac:dyDescent="0.35">
      <c r="A194" s="2" t="s">
        <v>6</v>
      </c>
      <c r="B194" t="s">
        <v>41</v>
      </c>
      <c r="C194" t="s">
        <v>7</v>
      </c>
      <c r="E194" s="1"/>
      <c r="F194" s="1">
        <f t="shared" ref="F194:F257" si="3">+E194*D194</f>
        <v>0</v>
      </c>
    </row>
    <row r="195" spans="1:6" hidden="1" x14ac:dyDescent="0.35">
      <c r="A195" s="2" t="s">
        <v>6</v>
      </c>
      <c r="B195" t="s">
        <v>42</v>
      </c>
      <c r="C195" t="s">
        <v>4</v>
      </c>
      <c r="E195" s="1"/>
      <c r="F195" s="1">
        <f t="shared" si="3"/>
        <v>0</v>
      </c>
    </row>
    <row r="196" spans="1:6" hidden="1" x14ac:dyDescent="0.35">
      <c r="A196" s="2" t="s">
        <v>6</v>
      </c>
      <c r="B196" t="s">
        <v>69</v>
      </c>
      <c r="C196" t="s">
        <v>7</v>
      </c>
      <c r="E196" s="1"/>
      <c r="F196" s="1">
        <f t="shared" si="3"/>
        <v>0</v>
      </c>
    </row>
    <row r="197" spans="1:6" hidden="1" x14ac:dyDescent="0.35">
      <c r="A197" s="2" t="s">
        <v>123</v>
      </c>
      <c r="B197" t="s">
        <v>153</v>
      </c>
      <c r="C197" t="s">
        <v>7</v>
      </c>
      <c r="E197" s="1"/>
      <c r="F197" s="1">
        <f t="shared" si="3"/>
        <v>0</v>
      </c>
    </row>
    <row r="198" spans="1:6" hidden="1" x14ac:dyDescent="0.35">
      <c r="A198" s="2" t="s">
        <v>9</v>
      </c>
      <c r="B198" t="s">
        <v>22</v>
      </c>
      <c r="C198" t="s">
        <v>7</v>
      </c>
      <c r="E198" s="1"/>
      <c r="F198" s="1">
        <f t="shared" si="3"/>
        <v>0</v>
      </c>
    </row>
    <row r="199" spans="1:6" hidden="1" x14ac:dyDescent="0.35">
      <c r="A199" s="2" t="s">
        <v>9</v>
      </c>
      <c r="B199" t="s">
        <v>43</v>
      </c>
      <c r="C199" t="s">
        <v>4</v>
      </c>
      <c r="E199" s="1"/>
      <c r="F199" s="1">
        <f t="shared" si="3"/>
        <v>0</v>
      </c>
    </row>
    <row r="200" spans="1:6" hidden="1" x14ac:dyDescent="0.35">
      <c r="A200" s="2" t="s">
        <v>9</v>
      </c>
      <c r="B200" t="s">
        <v>77</v>
      </c>
      <c r="C200" t="s">
        <v>7</v>
      </c>
      <c r="E200" s="1"/>
      <c r="F200" s="1">
        <f t="shared" si="3"/>
        <v>0</v>
      </c>
    </row>
    <row r="201" spans="1:6" hidden="1" x14ac:dyDescent="0.35">
      <c r="A201" s="2" t="s">
        <v>10</v>
      </c>
      <c r="B201" t="s">
        <v>45</v>
      </c>
      <c r="C201" t="s">
        <v>4</v>
      </c>
      <c r="E201" s="1"/>
      <c r="F201" s="1">
        <f t="shared" si="3"/>
        <v>0</v>
      </c>
    </row>
    <row r="202" spans="1:6" hidden="1" x14ac:dyDescent="0.35">
      <c r="A202" s="2" t="s">
        <v>10</v>
      </c>
      <c r="B202" t="s">
        <v>88</v>
      </c>
      <c r="C202" t="s">
        <v>89</v>
      </c>
      <c r="E202" s="1"/>
      <c r="F202" s="1">
        <f t="shared" si="3"/>
        <v>0</v>
      </c>
    </row>
    <row r="203" spans="1:6" hidden="1" x14ac:dyDescent="0.35">
      <c r="A203" s="2" t="s">
        <v>10</v>
      </c>
      <c r="B203" t="s">
        <v>99</v>
      </c>
      <c r="C203" t="s">
        <v>4</v>
      </c>
      <c r="E203" s="1"/>
      <c r="F203" s="1">
        <f t="shared" si="3"/>
        <v>0</v>
      </c>
    </row>
    <row r="204" spans="1:6" hidden="1" x14ac:dyDescent="0.35">
      <c r="A204" s="2" t="s">
        <v>11</v>
      </c>
      <c r="B204" t="s">
        <v>63</v>
      </c>
      <c r="C204" t="s">
        <v>4</v>
      </c>
      <c r="E204" s="1"/>
      <c r="F204" s="1">
        <f t="shared" si="3"/>
        <v>0</v>
      </c>
    </row>
    <row r="205" spans="1:6" hidden="1" x14ac:dyDescent="0.35">
      <c r="A205" s="2" t="s">
        <v>110</v>
      </c>
      <c r="B205" t="s">
        <v>195</v>
      </c>
      <c r="C205" t="s">
        <v>7</v>
      </c>
      <c r="E205" s="1"/>
      <c r="F205" s="1">
        <f t="shared" si="3"/>
        <v>0</v>
      </c>
    </row>
    <row r="206" spans="1:6" hidden="1" x14ac:dyDescent="0.35">
      <c r="A206" s="2" t="s">
        <v>110</v>
      </c>
      <c r="B206" t="s">
        <v>197</v>
      </c>
      <c r="C206" t="s">
        <v>7</v>
      </c>
      <c r="E206" s="1"/>
      <c r="F206" s="1">
        <f t="shared" si="3"/>
        <v>0</v>
      </c>
    </row>
    <row r="207" spans="1:6" hidden="1" x14ac:dyDescent="0.35">
      <c r="A207" s="2" t="s">
        <v>110</v>
      </c>
      <c r="B207" t="s">
        <v>184</v>
      </c>
      <c r="C207" t="s">
        <v>7</v>
      </c>
      <c r="E207" s="1"/>
      <c r="F207" s="1">
        <f t="shared" si="3"/>
        <v>0</v>
      </c>
    </row>
    <row r="208" spans="1:6" hidden="1" x14ac:dyDescent="0.35">
      <c r="A208" s="2" t="s">
        <v>110</v>
      </c>
      <c r="B208" t="s">
        <v>192</v>
      </c>
      <c r="C208" t="s">
        <v>7</v>
      </c>
      <c r="E208" s="1"/>
      <c r="F208" s="1">
        <f t="shared" si="3"/>
        <v>0</v>
      </c>
    </row>
    <row r="209" spans="1:6" hidden="1" x14ac:dyDescent="0.35">
      <c r="A209" s="2" t="s">
        <v>110</v>
      </c>
      <c r="B209" t="s">
        <v>180</v>
      </c>
      <c r="C209" t="s">
        <v>4</v>
      </c>
      <c r="E209" s="1"/>
      <c r="F209" s="1">
        <f t="shared" si="3"/>
        <v>0</v>
      </c>
    </row>
    <row r="210" spans="1:6" hidden="1" x14ac:dyDescent="0.35">
      <c r="A210" s="2" t="s">
        <v>110</v>
      </c>
      <c r="B210" t="s">
        <v>193</v>
      </c>
      <c r="C210" t="s">
        <v>7</v>
      </c>
      <c r="E210" s="1"/>
      <c r="F210" s="1">
        <f t="shared" si="3"/>
        <v>0</v>
      </c>
    </row>
    <row r="211" spans="1:6" hidden="1" x14ac:dyDescent="0.35">
      <c r="A211" s="2" t="s">
        <v>110</v>
      </c>
      <c r="B211" t="s">
        <v>199</v>
      </c>
      <c r="C211" t="s">
        <v>7</v>
      </c>
      <c r="E211" s="1"/>
      <c r="F211" s="1">
        <f t="shared" si="3"/>
        <v>0</v>
      </c>
    </row>
    <row r="212" spans="1:6" hidden="1" x14ac:dyDescent="0.35">
      <c r="A212" s="2" t="s">
        <v>110</v>
      </c>
      <c r="B212" t="s">
        <v>189</v>
      </c>
      <c r="C212" t="s">
        <v>7</v>
      </c>
      <c r="E212" s="1"/>
      <c r="F212" s="1">
        <f t="shared" si="3"/>
        <v>0</v>
      </c>
    </row>
    <row r="213" spans="1:6" hidden="1" x14ac:dyDescent="0.35">
      <c r="A213" s="2" t="s">
        <v>110</v>
      </c>
      <c r="B213" t="s">
        <v>191</v>
      </c>
      <c r="C213" t="s">
        <v>7</v>
      </c>
      <c r="E213" s="1"/>
      <c r="F213" s="1">
        <f t="shared" si="3"/>
        <v>0</v>
      </c>
    </row>
    <row r="214" spans="1:6" hidden="1" x14ac:dyDescent="0.35">
      <c r="A214" s="2" t="s">
        <v>110</v>
      </c>
      <c r="B214" t="s">
        <v>182</v>
      </c>
      <c r="C214" t="s">
        <v>7</v>
      </c>
      <c r="E214" s="1"/>
      <c r="F214" s="1">
        <f t="shared" si="3"/>
        <v>0</v>
      </c>
    </row>
    <row r="215" spans="1:6" hidden="1" x14ac:dyDescent="0.35">
      <c r="A215" s="2" t="s">
        <v>110</v>
      </c>
      <c r="B215" t="s">
        <v>194</v>
      </c>
      <c r="C215" t="s">
        <v>7</v>
      </c>
      <c r="E215" s="1"/>
      <c r="F215" s="1">
        <f t="shared" si="3"/>
        <v>0</v>
      </c>
    </row>
    <row r="216" spans="1:6" hidden="1" x14ac:dyDescent="0.35">
      <c r="A216" s="2" t="s">
        <v>110</v>
      </c>
      <c r="B216" t="s">
        <v>177</v>
      </c>
      <c r="C216" t="s">
        <v>4</v>
      </c>
      <c r="E216" s="1"/>
      <c r="F216" s="1">
        <f t="shared" si="3"/>
        <v>0</v>
      </c>
    </row>
    <row r="217" spans="1:6" hidden="1" x14ac:dyDescent="0.35">
      <c r="A217" s="2" t="s">
        <v>19</v>
      </c>
      <c r="B217" t="s">
        <v>233</v>
      </c>
      <c r="C217" t="s">
        <v>4</v>
      </c>
      <c r="E217" s="1"/>
      <c r="F217" s="1">
        <f t="shared" si="3"/>
        <v>0</v>
      </c>
    </row>
  </sheetData>
  <autoFilter ref="A1:F217" xr:uid="{0F7BCDFA-5D6C-4CA9-B003-8BFA83F5F8F5}">
    <filterColumn colId="0">
      <filters>
        <filter val="BEBIDA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producto terminado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Guerrero Vega</dc:creator>
  <cp:lastModifiedBy>Jorge Guerrero Vega</cp:lastModifiedBy>
  <dcterms:created xsi:type="dcterms:W3CDTF">2026-08-01T18:06:31Z</dcterms:created>
  <dcterms:modified xsi:type="dcterms:W3CDTF">2026-09-01T17:56:29Z</dcterms:modified>
</cp:coreProperties>
</file>