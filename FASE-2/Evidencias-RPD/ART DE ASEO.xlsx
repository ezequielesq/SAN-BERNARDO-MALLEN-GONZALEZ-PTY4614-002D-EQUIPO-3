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guerrero\Desktop\doña paula\"/>
    </mc:Choice>
  </mc:AlternateContent>
  <xr:revisionPtr revIDLastSave="0" documentId="13_ncr:1_{8C673A62-BB9C-4175-9277-59EC522EB8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4" i="2"/>
  <c r="G12" i="1"/>
  <c r="G26" i="1"/>
  <c r="G25" i="1"/>
  <c r="G24" i="1" l="1"/>
  <c r="G23" i="1"/>
  <c r="G22" i="1"/>
  <c r="G21" i="1"/>
  <c r="G20" i="1"/>
  <c r="G19" i="1"/>
  <c r="G18" i="1"/>
  <c r="G17" i="1"/>
  <c r="G16" i="1"/>
  <c r="G15" i="1"/>
  <c r="G14" i="1"/>
  <c r="G13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<sst xmlns="http://schemas.openxmlformats.org/spreadsheetml/2006/main" count="94" uniqueCount="37">
  <si>
    <t>PRODUCTO</t>
  </si>
  <si>
    <t>DESCRIPCION</t>
  </si>
  <si>
    <t>QTY</t>
  </si>
  <si>
    <t>ESPONJA PARRILLERA X 3UN</t>
  </si>
  <si>
    <t>ESPONJA DE ACERO EXTRA GRANDE</t>
  </si>
  <si>
    <t>ESPONJA LISA</t>
  </si>
  <si>
    <t>ESPONJA FIBRA</t>
  </si>
  <si>
    <t>LADRILLO PARA PARRILLA</t>
  </si>
  <si>
    <t>PAÑO MULTIUSO TRADICIONAL</t>
  </si>
  <si>
    <t>TRAPERO DOBLE c/OJAL 50x50</t>
  </si>
  <si>
    <t>TRAPERO 50x50 c/OJAL</t>
  </si>
  <si>
    <t>ESCOBILLA LAVAROPA</t>
  </si>
  <si>
    <t>GUANTES BLACK L 100pcs</t>
  </si>
  <si>
    <t>cj</t>
  </si>
  <si>
    <t>un</t>
  </si>
  <si>
    <t>LIMPIADOR DE PISO 5LT</t>
  </si>
  <si>
    <t>CLORO GEL 1500LT</t>
  </si>
  <si>
    <t>DESINFECTANTE CUATERNARIO 9% 1LT</t>
  </si>
  <si>
    <t>DETERGENTE DESINCRUSTANTE ACIDO 1LT</t>
  </si>
  <si>
    <t>JABON USO GENERAL EN SPRAY 800ML</t>
  </si>
  <si>
    <t>GUANTE ACTIVEX NITRILO FLOCADO VERDE M</t>
  </si>
  <si>
    <t>LUSTRAMUEBKES 500ML</t>
  </si>
  <si>
    <t>PAPEL HIGENICO ROLLO JUMBO 400M</t>
  </si>
  <si>
    <t>TOALLA DE MANO HOJA SENCILLA 350M</t>
  </si>
  <si>
    <t>PAPEL HIGENICO</t>
  </si>
  <si>
    <t xml:space="preserve">BOLSA DE BASURA </t>
  </si>
  <si>
    <t>STOCK</t>
  </si>
  <si>
    <t>PASTILLA LIMPIADORA HORNO AZUL</t>
  </si>
  <si>
    <t>PASTILLA LIMPIADORA HORNO VERDE</t>
  </si>
  <si>
    <t>PACK</t>
  </si>
  <si>
    <t>GUANTES BLACK S 100pcs</t>
  </si>
  <si>
    <t>ART DE ASEO</t>
  </si>
  <si>
    <t xml:space="preserve">DESODORANTE AMBIENTAL </t>
  </si>
  <si>
    <t>ESPONJA LISA x4</t>
  </si>
  <si>
    <t>PAÑO MULTIUSO TRADICIONAL virutex x3</t>
  </si>
  <si>
    <t>COSTO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</si>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</sst>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16" fontId="1" fillId="3" borderId="1" xfId="0" applyNumberFormat="1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7265625" defaultRowHeight="14.5" x14ac:dyDescent="0.35"/>
  <cols>
    <col min="2" max="2" width="12.36328125" bestFit="1" customWidth="1"/>
    <col min="3" max="3" width="11.7265625" bestFit="1" customWidth="1"/>
    <col min="4" max="4" width="39.26953125" bestFit="1" customWidth="1"/>
    <col min="5" max="5" width="4.1796875" hidden="1" customWidth="1"/>
    <col min="8" max="25" width="0" hidden="1" customWidth="1"/>
  </cols>
  <sheetData>
    <row r="1" spans="1:28" s="3" customFormat="1" x14ac:dyDescent="0.35">
      <c r="A1" s="3" t="s">
        <v>35</v>
      </c>
      <c r="B1" s="3" t="s">
        <v>36</v>
      </c>
      <c r="C1" s="3" t="s">
        <v>0</v>
      </c>
      <c r="D1" s="3" t="s">
        <v>1</v>
      </c>
      <c r="E1" s="3" t="s">
        <v>2</v>
      </c>
      <c r="F1" s="4">
        <v>46208</v>
      </c>
      <c r="G1" s="3" t="s">
        <v>26</v>
      </c>
      <c r="H1" s="4">
        <v>46208</v>
      </c>
      <c r="I1" s="4">
        <v>46209</v>
      </c>
      <c r="J1" s="4">
        <v>46210</v>
      </c>
      <c r="K1" s="4">
        <v>46211</v>
      </c>
      <c r="L1" s="4">
        <v>46212</v>
      </c>
      <c r="M1" s="4">
        <v>46213</v>
      </c>
      <c r="N1" s="4">
        <v>46214</v>
      </c>
      <c r="O1" s="4">
        <v>46214</v>
      </c>
      <c r="P1" s="4">
        <v>46215</v>
      </c>
      <c r="Q1" s="4">
        <v>46216</v>
      </c>
      <c r="R1" s="4">
        <v>46220</v>
      </c>
      <c r="S1" s="4">
        <v>46221</v>
      </c>
      <c r="T1" s="4">
        <v>46224</v>
      </c>
      <c r="U1" s="4">
        <v>46225</v>
      </c>
      <c r="V1" s="4">
        <v>46226</v>
      </c>
      <c r="W1" s="4">
        <v>46228</v>
      </c>
      <c r="X1" s="4">
        <v>46230</v>
      </c>
      <c r="Y1" s="4">
        <v>46231</v>
      </c>
      <c r="Z1" s="4">
        <v>46232</v>
      </c>
      <c r="AA1" s="4">
        <v>46235</v>
      </c>
      <c r="AB1" s="4">
        <v>46236</v>
      </c>
    </row>
    <row r="2" spans="1:28" s="1" customFormat="1" x14ac:dyDescent="0.35">
      <c r="A2">
        <v>2363</v>
      </c>
      <c r="B2" s="1">
        <f>+A2*G2</f>
        <v>14178</v>
      </c>
      <c r="C2" s="1" t="s">
        <v>31</v>
      </c>
      <c r="D2" s="1" t="s">
        <v>3</v>
      </c>
      <c r="E2" s="1">
        <v>10</v>
      </c>
      <c r="F2" s="1" t="s">
        <v>14</v>
      </c>
      <c r="G2" s="2">
        <f>+SUM(H2:XFD2,E2)</f>
        <v>6</v>
      </c>
      <c r="O2" s="1">
        <v>-1</v>
      </c>
      <c r="Q2" s="1">
        <v>-2</v>
      </c>
      <c r="Z2" s="1">
        <v>-1</v>
      </c>
    </row>
    <row r="3" spans="1:28" s="1" customFormat="1" x14ac:dyDescent="0.35">
      <c r="A3">
        <v>930</v>
      </c>
      <c r="B3" s="1">
        <f t="shared" ref="B3:B26" si="0">+A3*G3</f>
        <v>11160</v>
      </c>
      <c r="C3" s="1" t="s">
        <v>31</v>
      </c>
      <c r="D3" s="1" t="s">
        <v>4</v>
      </c>
      <c r="E3" s="1">
        <v>18</v>
      </c>
      <c r="F3" s="1" t="s">
        <v>14</v>
      </c>
      <c r="G3" s="2">
        <f>+SUM(H3:XFD3,E3)</f>
        <v>12</v>
      </c>
      <c r="I3" s="1">
        <v>-1</v>
      </c>
      <c r="M3" s="1">
        <v>-1</v>
      </c>
      <c r="Q3" s="1">
        <v>-3</v>
      </c>
      <c r="S3" s="1">
        <v>-3</v>
      </c>
      <c r="T3" s="1">
        <v>-1</v>
      </c>
      <c r="U3" s="1">
        <v>-2</v>
      </c>
      <c r="W3" s="1">
        <v>10</v>
      </c>
      <c r="Z3" s="1">
        <v>-5</v>
      </c>
    </row>
    <row r="4" spans="1:28" s="1" customFormat="1" x14ac:dyDescent="0.35">
      <c r="A4" s="1">
        <v>170</v>
      </c>
      <c r="B4" s="1">
        <f t="shared" si="0"/>
        <v>7820</v>
      </c>
      <c r="C4" s="1" t="s">
        <v>31</v>
      </c>
      <c r="D4" s="1" t="s">
        <v>5</v>
      </c>
      <c r="E4" s="1">
        <v>56</v>
      </c>
      <c r="F4" s="1" t="s">
        <v>14</v>
      </c>
      <c r="G4" s="2">
        <f>+SUM(H4:XFD4,E4)</f>
        <v>46</v>
      </c>
      <c r="H4" s="1">
        <v>-2</v>
      </c>
      <c r="I4" s="1">
        <v>-2</v>
      </c>
      <c r="M4" s="1">
        <v>-3</v>
      </c>
      <c r="N4" s="1">
        <v>-3</v>
      </c>
      <c r="O4" s="1">
        <v>-3</v>
      </c>
      <c r="P4" s="1">
        <v>-5</v>
      </c>
      <c r="Q4" s="1">
        <v>-1</v>
      </c>
      <c r="Z4" s="1">
        <v>9</v>
      </c>
    </row>
    <row r="5" spans="1:28" s="1" customFormat="1" x14ac:dyDescent="0.35">
      <c r="A5" s="1">
        <v>230</v>
      </c>
      <c r="B5" s="1">
        <f t="shared" si="0"/>
        <v>35650</v>
      </c>
      <c r="C5" s="1" t="s">
        <v>31</v>
      </c>
      <c r="D5" s="1" t="s">
        <v>6</v>
      </c>
      <c r="E5" s="1">
        <v>163</v>
      </c>
      <c r="F5" s="1" t="s">
        <v>14</v>
      </c>
      <c r="G5" s="2">
        <f>+SUM(H5:XFD5,E5)</f>
        <v>155</v>
      </c>
      <c r="I5" s="1">
        <v>-1</v>
      </c>
      <c r="Z5" s="1">
        <v>-7</v>
      </c>
    </row>
    <row r="6" spans="1:28" s="1" customFormat="1" x14ac:dyDescent="0.35">
      <c r="A6" s="1">
        <v>4909</v>
      </c>
      <c r="B6" s="1">
        <f t="shared" si="0"/>
        <v>14727</v>
      </c>
      <c r="C6" s="1" t="s">
        <v>31</v>
      </c>
      <c r="D6" s="1" t="s">
        <v>7</v>
      </c>
      <c r="E6" s="1">
        <v>4</v>
      </c>
      <c r="F6" s="1" t="s">
        <v>14</v>
      </c>
      <c r="G6" s="2">
        <f>+SUM(H6:XFD6,E6)</f>
        <v>3</v>
      </c>
      <c r="Z6" s="1">
        <v>-1</v>
      </c>
    </row>
    <row r="7" spans="1:28" s="1" customFormat="1" x14ac:dyDescent="0.35">
      <c r="A7" s="1">
        <v>1640</v>
      </c>
      <c r="B7" s="1">
        <f t="shared" si="0"/>
        <v>13120</v>
      </c>
      <c r="C7" s="1" t="s">
        <v>31</v>
      </c>
      <c r="D7" s="1" t="s">
        <v>8</v>
      </c>
      <c r="E7" s="1">
        <v>2</v>
      </c>
      <c r="F7" s="1" t="s">
        <v>29</v>
      </c>
      <c r="G7" s="2">
        <f>+SUM(H7:XFD7,E7)</f>
        <v>8</v>
      </c>
      <c r="I7" s="1">
        <v>-1</v>
      </c>
      <c r="N7" s="1">
        <v>10</v>
      </c>
      <c r="P7" s="1">
        <v>-1</v>
      </c>
      <c r="S7" s="1">
        <v>-1</v>
      </c>
      <c r="T7" s="1">
        <v>-1</v>
      </c>
      <c r="U7" s="1">
        <v>-2</v>
      </c>
      <c r="V7" s="1">
        <v>-1</v>
      </c>
      <c r="W7" s="1">
        <v>5</v>
      </c>
      <c r="Z7" s="1">
        <v>-2</v>
      </c>
    </row>
    <row r="8" spans="1:28" s="1" customFormat="1" x14ac:dyDescent="0.35">
      <c r="A8" s="1">
        <v>1030</v>
      </c>
      <c r="B8" s="1">
        <f t="shared" si="0"/>
        <v>1030</v>
      </c>
      <c r="C8" s="1" t="s">
        <v>31</v>
      </c>
      <c r="D8" s="1" t="s">
        <v>10</v>
      </c>
      <c r="E8" s="1">
        <v>1</v>
      </c>
      <c r="F8" s="1" t="s">
        <v>14</v>
      </c>
      <c r="G8" s="2">
        <f>+SUM(H8:XFD8,E8)</f>
        <v>1</v>
      </c>
    </row>
    <row r="9" spans="1:28" s="1" customFormat="1" x14ac:dyDescent="0.35">
      <c r="A9" s="1">
        <v>1470</v>
      </c>
      <c r="B9" s="1">
        <f t="shared" si="0"/>
        <v>1470</v>
      </c>
      <c r="C9" s="1" t="s">
        <v>31</v>
      </c>
      <c r="D9" s="1" t="s">
        <v>9</v>
      </c>
      <c r="E9" s="1">
        <v>2</v>
      </c>
      <c r="F9" s="1" t="s">
        <v>14</v>
      </c>
      <c r="G9" s="2">
        <f>+SUM(H9:XFD9,E9)</f>
        <v>1</v>
      </c>
      <c r="Z9" s="1">
        <v>-1</v>
      </c>
    </row>
    <row r="10" spans="1:28" s="1" customFormat="1" x14ac:dyDescent="0.35">
      <c r="B10" s="1">
        <f t="shared" si="0"/>
        <v>0</v>
      </c>
      <c r="C10" s="1" t="s">
        <v>31</v>
      </c>
      <c r="D10" s="1" t="s">
        <v>11</v>
      </c>
      <c r="E10" s="1">
        <v>1</v>
      </c>
      <c r="F10" s="1" t="s">
        <v>14</v>
      </c>
      <c r="G10" s="2">
        <f>+SUM(H10:XFD10,E10)</f>
        <v>1</v>
      </c>
    </row>
    <row r="11" spans="1:28" s="1" customFormat="1" x14ac:dyDescent="0.35">
      <c r="A11" s="1">
        <v>4650</v>
      </c>
      <c r="B11" s="1">
        <f t="shared" si="0"/>
        <v>13950</v>
      </c>
      <c r="C11" s="1" t="s">
        <v>31</v>
      </c>
      <c r="D11" s="1" t="s">
        <v>12</v>
      </c>
      <c r="E11" s="1">
        <v>1</v>
      </c>
      <c r="F11" s="1" t="s">
        <v>13</v>
      </c>
      <c r="G11" s="2">
        <f>+SUM(H11:XFD11,E11)</f>
        <v>3</v>
      </c>
      <c r="K11" s="1">
        <v>-1</v>
      </c>
      <c r="R11" s="1">
        <v>2</v>
      </c>
      <c r="U11" s="1">
        <v>-1</v>
      </c>
      <c r="AA11" s="1">
        <v>2</v>
      </c>
    </row>
    <row r="12" spans="1:28" s="1" customFormat="1" x14ac:dyDescent="0.35">
      <c r="A12" s="1">
        <v>4650</v>
      </c>
      <c r="B12" s="1">
        <f t="shared" si="0"/>
        <v>4650</v>
      </c>
      <c r="C12" s="1" t="s">
        <v>31</v>
      </c>
      <c r="D12" s="1" t="s">
        <v>30</v>
      </c>
      <c r="F12" s="1" t="s">
        <v>13</v>
      </c>
      <c r="G12" s="2">
        <f>+SUM(H12:XFD12,E12)</f>
        <v>1</v>
      </c>
      <c r="R12" s="1">
        <v>2</v>
      </c>
      <c r="S12" s="1">
        <v>-1</v>
      </c>
      <c r="U12" s="1">
        <v>-1</v>
      </c>
      <c r="AA12" s="1">
        <v>2</v>
      </c>
      <c r="AB12" s="1">
        <v>-1</v>
      </c>
    </row>
    <row r="13" spans="1:28" s="1" customFormat="1" x14ac:dyDescent="0.35">
      <c r="B13" s="1">
        <f t="shared" si="0"/>
        <v>0</v>
      </c>
      <c r="C13" s="1" t="s">
        <v>31</v>
      </c>
      <c r="D13" s="1" t="s">
        <v>15</v>
      </c>
      <c r="E13" s="1">
        <v>5</v>
      </c>
      <c r="F13" s="1" t="s">
        <v>14</v>
      </c>
      <c r="G13" s="2">
        <f>+SUM(H13:XFD13,E13)</f>
        <v>4</v>
      </c>
      <c r="H13" s="1">
        <v>-1</v>
      </c>
    </row>
    <row r="14" spans="1:28" s="1" customFormat="1" x14ac:dyDescent="0.35">
      <c r="B14" s="1">
        <f t="shared" si="0"/>
        <v>0</v>
      </c>
      <c r="C14" s="1" t="s">
        <v>31</v>
      </c>
      <c r="D14" s="1" t="s">
        <v>16</v>
      </c>
      <c r="E14" s="1">
        <v>1</v>
      </c>
      <c r="F14" s="1" t="s">
        <v>14</v>
      </c>
      <c r="G14" s="2">
        <f>+SUM(H14:XFD14,E14)</f>
        <v>1</v>
      </c>
      <c r="R14" s="1">
        <v>-1</v>
      </c>
      <c r="U14" s="1">
        <v>1</v>
      </c>
    </row>
    <row r="15" spans="1:28" s="1" customFormat="1" x14ac:dyDescent="0.35">
      <c r="B15" s="1">
        <f t="shared" si="0"/>
        <v>0</v>
      </c>
      <c r="C15" s="1" t="s">
        <v>31</v>
      </c>
      <c r="D15" s="1" t="s">
        <v>17</v>
      </c>
      <c r="E15" s="1">
        <v>4</v>
      </c>
      <c r="F15" s="1" t="s">
        <v>14</v>
      </c>
      <c r="G15" s="2">
        <f>+SUM(H15:XFD15,E15)</f>
        <v>4</v>
      </c>
    </row>
    <row r="16" spans="1:28" s="1" customFormat="1" x14ac:dyDescent="0.35">
      <c r="B16" s="1">
        <f t="shared" si="0"/>
        <v>0</v>
      </c>
      <c r="C16" s="1" t="s">
        <v>31</v>
      </c>
      <c r="D16" s="1" t="s">
        <v>18</v>
      </c>
      <c r="E16" s="1">
        <v>1</v>
      </c>
      <c r="F16" s="1" t="s">
        <v>14</v>
      </c>
      <c r="G16" s="2">
        <f>+SUM(H16:XFD16,E16)</f>
        <v>1</v>
      </c>
    </row>
    <row r="17" spans="2:26" s="1" customFormat="1" x14ac:dyDescent="0.35">
      <c r="B17" s="1">
        <f t="shared" si="0"/>
        <v>0</v>
      </c>
      <c r="C17" s="1" t="s">
        <v>31</v>
      </c>
      <c r="D17" s="1" t="s">
        <v>19</v>
      </c>
      <c r="E17" s="1">
        <v>23</v>
      </c>
      <c r="F17" s="1" t="s">
        <v>14</v>
      </c>
      <c r="G17" s="2">
        <f>+SUM(H17:XFD17,E17)</f>
        <v>22</v>
      </c>
      <c r="Z17" s="1">
        <v>-1</v>
      </c>
    </row>
    <row r="18" spans="2:26" s="1" customFormat="1" x14ac:dyDescent="0.35">
      <c r="B18" s="1">
        <f t="shared" si="0"/>
        <v>0</v>
      </c>
      <c r="C18" s="1" t="s">
        <v>31</v>
      </c>
      <c r="D18" s="1" t="s">
        <v>20</v>
      </c>
      <c r="E18" s="1">
        <v>18</v>
      </c>
      <c r="F18" s="1" t="s">
        <v>14</v>
      </c>
      <c r="G18" s="2">
        <f>+SUM(H18:XFD18,E18)</f>
        <v>9</v>
      </c>
      <c r="I18" s="1">
        <v>-2</v>
      </c>
      <c r="L18" s="1">
        <v>-1</v>
      </c>
      <c r="Q18" s="1">
        <v>-1</v>
      </c>
      <c r="Z18" s="1">
        <v>-5</v>
      </c>
    </row>
    <row r="19" spans="2:26" s="1" customFormat="1" x14ac:dyDescent="0.35">
      <c r="B19" s="1">
        <f t="shared" si="0"/>
        <v>0</v>
      </c>
      <c r="C19" s="1" t="s">
        <v>31</v>
      </c>
      <c r="D19" s="1" t="s">
        <v>21</v>
      </c>
      <c r="E19" s="1">
        <v>1</v>
      </c>
      <c r="F19" s="1" t="s">
        <v>14</v>
      </c>
      <c r="G19" s="2">
        <f>+SUM(H19:XFD19,E19)</f>
        <v>1</v>
      </c>
    </row>
    <row r="20" spans="2:26" s="1" customFormat="1" x14ac:dyDescent="0.35">
      <c r="B20" s="1">
        <f t="shared" si="0"/>
        <v>0</v>
      </c>
      <c r="C20" s="1" t="s">
        <v>31</v>
      </c>
      <c r="D20" s="1" t="s">
        <v>22</v>
      </c>
      <c r="E20" s="1">
        <v>4</v>
      </c>
      <c r="F20" s="1" t="s">
        <v>14</v>
      </c>
      <c r="G20" s="2">
        <f>+SUM(H20:XFD20,E20)</f>
        <v>3</v>
      </c>
      <c r="X20" s="1">
        <v>-1</v>
      </c>
    </row>
    <row r="21" spans="2:26" s="1" customFormat="1" x14ac:dyDescent="0.35">
      <c r="B21" s="1">
        <f t="shared" si="0"/>
        <v>0</v>
      </c>
      <c r="C21" s="1" t="s">
        <v>31</v>
      </c>
      <c r="D21" s="1" t="s">
        <v>23</v>
      </c>
      <c r="E21" s="1">
        <v>3</v>
      </c>
      <c r="F21" s="1" t="s">
        <v>14</v>
      </c>
      <c r="G21" s="2">
        <f>+SUM(H21:XFD21,E21)</f>
        <v>11</v>
      </c>
      <c r="J21" s="1">
        <v>-2</v>
      </c>
      <c r="M21" s="1">
        <v>6</v>
      </c>
      <c r="N21" s="1">
        <v>-1</v>
      </c>
      <c r="Q21" s="1">
        <v>-2</v>
      </c>
      <c r="S21" s="1">
        <v>-4</v>
      </c>
      <c r="T21" s="1">
        <v>12</v>
      </c>
      <c r="U21" s="1">
        <v>-1</v>
      </c>
      <c r="V21" s="1">
        <v>-1</v>
      </c>
      <c r="W21" s="1">
        <v>-1</v>
      </c>
      <c r="X21" s="1">
        <v>-3</v>
      </c>
      <c r="Y21" s="1">
        <v>-1</v>
      </c>
      <c r="Z21" s="1">
        <v>6</v>
      </c>
    </row>
    <row r="22" spans="2:26" s="1" customFormat="1" x14ac:dyDescent="0.35">
      <c r="B22" s="1">
        <f t="shared" si="0"/>
        <v>0</v>
      </c>
      <c r="C22" s="1" t="s">
        <v>31</v>
      </c>
      <c r="D22" s="1" t="s">
        <v>24</v>
      </c>
      <c r="E22" s="1">
        <v>5</v>
      </c>
      <c r="F22" s="1" t="s">
        <v>14</v>
      </c>
      <c r="G22" s="2">
        <f>+SUM(H22:XFD22,E22)</f>
        <v>2</v>
      </c>
      <c r="Z22" s="1">
        <v>-3</v>
      </c>
    </row>
    <row r="23" spans="2:26" s="1" customFormat="1" x14ac:dyDescent="0.35">
      <c r="B23" s="1">
        <f t="shared" si="0"/>
        <v>0</v>
      </c>
      <c r="C23" s="1" t="s">
        <v>31</v>
      </c>
      <c r="D23" s="1" t="s">
        <v>25</v>
      </c>
      <c r="E23" s="1">
        <v>3</v>
      </c>
      <c r="F23" s="1" t="s">
        <v>14</v>
      </c>
      <c r="G23" s="2">
        <f>+SUM(H23:XFD23,E23)</f>
        <v>12</v>
      </c>
      <c r="L23" s="1">
        <v>-1</v>
      </c>
      <c r="M23" s="1">
        <v>10</v>
      </c>
    </row>
    <row r="24" spans="2:26" s="1" customFormat="1" x14ac:dyDescent="0.35">
      <c r="B24" s="1">
        <f t="shared" si="0"/>
        <v>0</v>
      </c>
      <c r="C24" s="1" t="s">
        <v>31</v>
      </c>
      <c r="D24" s="1" t="s">
        <v>32</v>
      </c>
      <c r="E24" s="1">
        <v>1</v>
      </c>
      <c r="F24" s="1" t="s">
        <v>14</v>
      </c>
      <c r="G24" s="2">
        <f>+SUM(H24:XFD24,E24)</f>
        <v>1</v>
      </c>
    </row>
    <row r="25" spans="2:26" s="1" customFormat="1" x14ac:dyDescent="0.35">
      <c r="B25" s="1">
        <f t="shared" si="0"/>
        <v>0</v>
      </c>
      <c r="C25" s="1" t="s">
        <v>31</v>
      </c>
      <c r="D25" s="1" t="s">
        <v>27</v>
      </c>
      <c r="F25" s="1" t="s">
        <v>14</v>
      </c>
      <c r="G25" s="2">
        <f>+SUM(H25:XFD25,E25)</f>
        <v>145</v>
      </c>
      <c r="K25" s="1">
        <v>150</v>
      </c>
      <c r="Z25" s="1">
        <v>-5</v>
      </c>
    </row>
    <row r="26" spans="2:26" s="1" customFormat="1" x14ac:dyDescent="0.35">
      <c r="B26" s="1">
        <f t="shared" si="0"/>
        <v>0</v>
      </c>
      <c r="C26" s="1" t="s">
        <v>31</v>
      </c>
      <c r="D26" s="1" t="s">
        <v>28</v>
      </c>
      <c r="F26" s="1" t="s">
        <v>14</v>
      </c>
      <c r="G26" s="2">
        <f>+SUM(H26:XFD26,E26)</f>
        <v>164</v>
      </c>
      <c r="K26" s="1">
        <v>169</v>
      </c>
      <c r="Z26" s="1">
        <v>-5</v>
      </c>
    </row>
    <row r="27" spans="2:26" x14ac:dyDescent="0.35">
      <c r="C27" s="5"/>
    </row>
  </sheetData>
  <conditionalFormatting sqref="C1:D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CD87-46EA-4461-912F-04A2EFB5A486}">
  <dimension ref="B2:D14"/>
  <sheetViews>
    <sheetView workbookViewId="0">
      <selection activeCell="C8" sqref="C8"/>
    </sheetView>
  </sheetViews>
  <sheetFormatPr baseColWidth="10" defaultRowHeight="14.5" x14ac:dyDescent="0.35"/>
  <cols>
    <col min="2" max="2" width="35.7265625" bestFit="1" customWidth="1"/>
  </cols>
  <sheetData>
    <row r="2" spans="2:4" x14ac:dyDescent="0.35">
      <c r="B2" s="1" t="s">
        <v>3</v>
      </c>
      <c r="C2">
        <v>2363</v>
      </c>
    </row>
    <row r="3" spans="2:4" x14ac:dyDescent="0.35">
      <c r="B3" s="1" t="s">
        <v>4</v>
      </c>
      <c r="C3">
        <v>930</v>
      </c>
    </row>
    <row r="4" spans="2:4" x14ac:dyDescent="0.35">
      <c r="B4" s="1" t="s">
        <v>33</v>
      </c>
      <c r="C4">
        <v>680</v>
      </c>
      <c r="D4">
        <f>+C4/4</f>
        <v>170</v>
      </c>
    </row>
    <row r="5" spans="2:4" x14ac:dyDescent="0.35">
      <c r="B5" s="1" t="s">
        <v>6</v>
      </c>
      <c r="C5">
        <v>230</v>
      </c>
    </row>
    <row r="6" spans="2:4" x14ac:dyDescent="0.35">
      <c r="B6" s="1" t="s">
        <v>7</v>
      </c>
      <c r="C6">
        <v>4909</v>
      </c>
    </row>
    <row r="7" spans="2:4" x14ac:dyDescent="0.35">
      <c r="B7" s="1" t="s">
        <v>34</v>
      </c>
      <c r="C7">
        <v>1640</v>
      </c>
    </row>
    <row r="8" spans="2:4" x14ac:dyDescent="0.35">
      <c r="B8" s="1" t="s">
        <v>10</v>
      </c>
      <c r="C8">
        <v>1030</v>
      </c>
    </row>
    <row r="9" spans="2:4" x14ac:dyDescent="0.35">
      <c r="B9" s="1" t="s">
        <v>9</v>
      </c>
      <c r="C9">
        <v>1470</v>
      </c>
    </row>
    <row r="10" spans="2:4" x14ac:dyDescent="0.35">
      <c r="B10" s="1" t="s">
        <v>11</v>
      </c>
    </row>
    <row r="11" spans="2:4" x14ac:dyDescent="0.35">
      <c r="B11" s="1" t="s">
        <v>12</v>
      </c>
      <c r="C11">
        <v>4650</v>
      </c>
    </row>
    <row r="12" spans="2:4" x14ac:dyDescent="0.35">
      <c r="B12" s="1" t="s">
        <v>30</v>
      </c>
      <c r="C12">
        <v>4650</v>
      </c>
    </row>
    <row r="13" spans="2:4" x14ac:dyDescent="0.35">
      <c r="B13" s="1" t="s">
        <v>16</v>
      </c>
    </row>
    <row r="14" spans="2:4" x14ac:dyDescent="0.35">
      <c r="B1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Guerrero Vega</dc:creator>
  <cp:lastModifiedBy>Jorge Guerrero Vega</cp:lastModifiedBy>
  <dcterms:created xsi:type="dcterms:W3CDTF">2015-06-05T18:19:34Z</dcterms:created>
  <dcterms:modified xsi:type="dcterms:W3CDTF">2026-08-14T21:22:04Z</dcterms:modified>
</cp:coreProperties>
</file>