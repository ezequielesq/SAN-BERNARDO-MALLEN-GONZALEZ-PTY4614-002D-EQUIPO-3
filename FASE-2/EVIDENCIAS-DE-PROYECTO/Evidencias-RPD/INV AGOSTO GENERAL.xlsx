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roducto terminado" sheetId="2" r:id="rId5"/>
  </sheets>
  <definedNames>
    <definedName hidden="1" localSheetId="1" name="_xlnm._FilterDatabase">'producto terminado'!$A$1:$F$217</definedName>
  </definedNames>
  <calcPr/>
  <extLst>
    <ext uri="GoogleSheetsCustomDataVersion2">
      <go:sheetsCustomData xmlns:go="http://customooxmlschemas.google.com/" r:id="rId6" roundtripDataChecksum="m3prTnPxzpbcawVtBONc6xecIsqF538L5z8wy7ZKNq4="/>
    </ext>
  </extLst>
</workbook>
</file>

<file path=xl/sharedStrings.xml><?xml version="1.0" encoding="utf-8"?>
<sst xmlns="http://schemas.openxmlformats.org/spreadsheetml/2006/main" count="1341" uniqueCount="267">
  <si>
    <t>PRODUCTO</t>
  </si>
  <si>
    <t>DESCRIPCION</t>
  </si>
  <si>
    <t>UDM</t>
  </si>
  <si>
    <t>STOCK BODEGA</t>
  </si>
  <si>
    <t>$</t>
  </si>
  <si>
    <t>STOCK</t>
  </si>
  <si>
    <t>STOCK RDP</t>
  </si>
  <si>
    <t>STOCK TOTAL</t>
  </si>
  <si>
    <t>HELADO</t>
  </si>
  <si>
    <t>FRUTILLA</t>
  </si>
  <si>
    <t>UN</t>
  </si>
  <si>
    <t>ABARROTES</t>
  </si>
  <si>
    <t>JAMON SERRANO</t>
  </si>
  <si>
    <t>KG</t>
  </si>
  <si>
    <t>LACTEOS</t>
  </si>
  <si>
    <t>MANTEQUILLA SIN SAL 5KG</t>
  </si>
  <si>
    <t>FRAMBUESA</t>
  </si>
  <si>
    <t>PROTEINA</t>
  </si>
  <si>
    <t>POLLO ARVERJADO</t>
  </si>
  <si>
    <t>PISTACHO</t>
  </si>
  <si>
    <t>VERDURA</t>
  </si>
  <si>
    <t>MIX DE HOJA</t>
  </si>
  <si>
    <t>COSTILLAR</t>
  </si>
  <si>
    <t>CHOCOLATE</t>
  </si>
  <si>
    <t xml:space="preserve">HARINA EXTRAFINA 25KG </t>
  </si>
  <si>
    <t>CAFETERIA</t>
  </si>
  <si>
    <t>LUCAFFE CAPSULA ESPRESSO</t>
  </si>
  <si>
    <t>VAINILLA</t>
  </si>
  <si>
    <t xml:space="preserve">QUESO PARMESANO </t>
  </si>
  <si>
    <t>LECHE ENTERA LIQUIDA 1LT</t>
  </si>
  <si>
    <t>CONGELADOS</t>
  </si>
  <si>
    <t>PULPA MANGO M</t>
  </si>
  <si>
    <t xml:space="preserve">HARINA PANIFICACION 25KG </t>
  </si>
  <si>
    <t>TE MANZANILLA</t>
  </si>
  <si>
    <t>FRUTA</t>
  </si>
  <si>
    <t>PIÑA</t>
  </si>
  <si>
    <t>INSUMOS</t>
  </si>
  <si>
    <t>SERVILLETAS RESTAURANTE 160UN</t>
  </si>
  <si>
    <t>BEBIDAS</t>
  </si>
  <si>
    <t xml:space="preserve">SPRITE 1,5 </t>
  </si>
  <si>
    <t>CAMARON NAILON</t>
  </si>
  <si>
    <t>MALAYA</t>
  </si>
  <si>
    <t xml:space="preserve">SABOR AHUMADO </t>
  </si>
  <si>
    <t>LT</t>
  </si>
  <si>
    <t>SALMON FRESCO</t>
  </si>
  <si>
    <t>ALCAPARRAS 965G</t>
  </si>
  <si>
    <t>AZUCAR BLANCA GRANULADA 1KG</t>
  </si>
  <si>
    <t xml:space="preserve">MERLUSA AUSTRAL </t>
  </si>
  <si>
    <t>CONDIMENTOS</t>
  </si>
  <si>
    <t>SAL DE MESA 1KG</t>
  </si>
  <si>
    <t>PULPO</t>
  </si>
  <si>
    <t>ACEITUNAS VERDES EN RODAJAS 1,7KG</t>
  </si>
  <si>
    <t xml:space="preserve">PULPA PIÑA </t>
  </si>
  <si>
    <t xml:space="preserve">ARROZ RISOTTO </t>
  </si>
  <si>
    <t>LIMON AMARILLO</t>
  </si>
  <si>
    <t>OSOBUCO</t>
  </si>
  <si>
    <t xml:space="preserve">SALSA INGLESA </t>
  </si>
  <si>
    <t>OSTION</t>
  </si>
  <si>
    <t>LECHUGA LOLLO VERDE</t>
  </si>
  <si>
    <t>TONICA LATA</t>
  </si>
  <si>
    <t>LOMO VETADO</t>
  </si>
  <si>
    <t xml:space="preserve">ACETO BALSAMICO </t>
  </si>
  <si>
    <t xml:space="preserve">PULPA MANGO </t>
  </si>
  <si>
    <t xml:space="preserve">PULPA FRUTILLA </t>
  </si>
  <si>
    <t>SALSA DE OSTION</t>
  </si>
  <si>
    <t>HIERBA</t>
  </si>
  <si>
    <t>MENTA</t>
  </si>
  <si>
    <t>ATUN</t>
  </si>
  <si>
    <t>PALMITOS ENTEROS 810G</t>
  </si>
  <si>
    <t>PASTA</t>
  </si>
  <si>
    <t>FETUCCINI</t>
  </si>
  <si>
    <t>COCA COLA</t>
  </si>
  <si>
    <t>MANTEQUILLA DE CAMPO 250GR</t>
  </si>
  <si>
    <t>SPRITE ZERO LATA</t>
  </si>
  <si>
    <t xml:space="preserve">FILETE S/C </t>
  </si>
  <si>
    <t>TE BOLDO</t>
  </si>
  <si>
    <t>GINGER ALE ZERO LATA</t>
  </si>
  <si>
    <t>GINGER ALE ORIGINAL LATA</t>
  </si>
  <si>
    <t>SPRITE LATA ORIGINAL</t>
  </si>
  <si>
    <t>HUEVO</t>
  </si>
  <si>
    <t xml:space="preserve">PEPINILLOS </t>
  </si>
  <si>
    <t>TE CEDRON CITRICO</t>
  </si>
  <si>
    <t>ENDULZANTE 0,5</t>
  </si>
  <si>
    <t xml:space="preserve">LUCAFFE PERCOLADO </t>
  </si>
  <si>
    <t xml:space="preserve">CHOCOLATE BLANCO ECUADOR 31% CACAO </t>
  </si>
  <si>
    <t xml:space="preserve">MAYO </t>
  </si>
  <si>
    <t>ART DE ASEO</t>
  </si>
  <si>
    <t>PASTILLA LIMPIADORA HORNO VERDE</t>
  </si>
  <si>
    <t>un</t>
  </si>
  <si>
    <t>CHOCOLATE NEGRO ECUADOR 56% CACAO</t>
  </si>
  <si>
    <t>PLATEADA ENTERO</t>
  </si>
  <si>
    <t>CONEJO</t>
  </si>
  <si>
    <t xml:space="preserve">PANKO BLANCO </t>
  </si>
  <si>
    <t>PASTILLA LIMPIADORA HORNO AZUL</t>
  </si>
  <si>
    <t>DIS401</t>
  </si>
  <si>
    <t>CAMARON ECUATORIANO</t>
  </si>
  <si>
    <t>FRUTOS SECOS</t>
  </si>
  <si>
    <t>PRALINE 3KG</t>
  </si>
  <si>
    <t>DULCE DE MEMBRILLO</t>
  </si>
  <si>
    <t>GARRON DE CORDERO</t>
  </si>
  <si>
    <t>TOALLA DE MANO HOJA SENCILLA 350M</t>
  </si>
  <si>
    <t xml:space="preserve">PURE DE PALTA </t>
  </si>
  <si>
    <t>PALMITOS EN RODAJA 810G</t>
  </si>
  <si>
    <t xml:space="preserve">PASTA DE CHOCLO C/ALBAHACA </t>
  </si>
  <si>
    <t>CREMA DE LECHE 1LT</t>
  </si>
  <si>
    <t>CEBOLLA MORADA</t>
  </si>
  <si>
    <t>ACEITE VEGETAL 5LT</t>
  </si>
  <si>
    <t>ROLLO FILM 45CM x 1400m</t>
  </si>
  <si>
    <t xml:space="preserve">SEMOLA </t>
  </si>
  <si>
    <t>CORVINA</t>
  </si>
  <si>
    <t>CHAMPIÑON BLANCO</t>
  </si>
  <si>
    <t>ESPONJA FIBRA</t>
  </si>
  <si>
    <t>TOMATE CHERRY</t>
  </si>
  <si>
    <t>COLAPEZ</t>
  </si>
  <si>
    <t>QUESO DE CABRA</t>
  </si>
  <si>
    <t xml:space="preserve">CHOCLO EN GRANO </t>
  </si>
  <si>
    <t>CEBOLLA BLANCA</t>
  </si>
  <si>
    <t>PAPA BLANCA</t>
  </si>
  <si>
    <t xml:space="preserve">CAFÉ INSTANTANEO NESCAFE  </t>
  </si>
  <si>
    <t>PULPA FRUTILLA M</t>
  </si>
  <si>
    <t>LEVADURA INSTATANEA 500G</t>
  </si>
  <si>
    <t>POROTOS GRANADOS 1KG</t>
  </si>
  <si>
    <t>TE NEGRO PURO</t>
  </si>
  <si>
    <t xml:space="preserve">AZAFRAN </t>
  </si>
  <si>
    <t>GR</t>
  </si>
  <si>
    <t>COUSCOUS 500G</t>
  </si>
  <si>
    <t>LECHUGA LOLLO ROSA</t>
  </si>
  <si>
    <t>PIMENTON VERDE</t>
  </si>
  <si>
    <t>SERVILLETAS RESTAURANTE 200UN</t>
  </si>
  <si>
    <t>LECHE EVAPORADA 366G</t>
  </si>
  <si>
    <t xml:space="preserve">TRIPLE CONCENTRADO DE TOMATE </t>
  </si>
  <si>
    <t>PIMENTON AMARILLO</t>
  </si>
  <si>
    <t>LECHE CONDENSADA 397GR</t>
  </si>
  <si>
    <t>ARVEJAS</t>
  </si>
  <si>
    <t xml:space="preserve">QUESO CREMA </t>
  </si>
  <si>
    <t>PAÑO MULTIUSO TRADICIONAL</t>
  </si>
  <si>
    <t>PACK</t>
  </si>
  <si>
    <t>TE MENTA PIPERITA</t>
  </si>
  <si>
    <t xml:space="preserve">ARROZ LARGO ANCHO 1GRADO </t>
  </si>
  <si>
    <t>PUERRO</t>
  </si>
  <si>
    <t>PAQUETES</t>
  </si>
  <si>
    <t xml:space="preserve">ZAPALLO ITALIANO </t>
  </si>
  <si>
    <t>PALTA HASS</t>
  </si>
  <si>
    <t xml:space="preserve">KETCHUP </t>
  </si>
  <si>
    <t>ESPONJA DE ACERO EXTRA GRANDE</t>
  </si>
  <si>
    <t xml:space="preserve">CLAVOS DE OLOR </t>
  </si>
  <si>
    <t>AZUCAR FLOR 1KG</t>
  </si>
  <si>
    <t>PIMENTON ROJO</t>
  </si>
  <si>
    <t xml:space="preserve">POLENTA ISTANTANEA </t>
  </si>
  <si>
    <t>PAPEL ALUMINIO 100MTS</t>
  </si>
  <si>
    <t>ESPONJA LISA</t>
  </si>
  <si>
    <t>BERENGENAS</t>
  </si>
  <si>
    <t>LECHE ENTERA INSTANTANEA EN POLVO 900GR</t>
  </si>
  <si>
    <t>AJI CREMA</t>
  </si>
  <si>
    <t>PERA NO MADURA</t>
  </si>
  <si>
    <t>VINAGRE DE MANZANA 5LT</t>
  </si>
  <si>
    <t>MANZANA VERDE</t>
  </si>
  <si>
    <t xml:space="preserve">MOSTAZA </t>
  </si>
  <si>
    <t>ALBAHACA</t>
  </si>
  <si>
    <t>PAPEL HIGENICO ROLLO JUMBO 400M</t>
  </si>
  <si>
    <t>VASOS DE CARTON  50UN</t>
  </si>
  <si>
    <t>ZUCCHINI BABY</t>
  </si>
  <si>
    <t>FONDOS DE ALCACHOFAS 950G</t>
  </si>
  <si>
    <t>GUANTES BLACK L 100pcs</t>
  </si>
  <si>
    <t>cj</t>
  </si>
  <si>
    <t>TABASCO</t>
  </si>
  <si>
    <t>MIEL 900ML</t>
  </si>
  <si>
    <t>BETERRAGA</t>
  </si>
  <si>
    <t>BERRO JAPONES</t>
  </si>
  <si>
    <t>JUGO DE TOMATE 300CC</t>
  </si>
  <si>
    <t>LIMON SUTIL</t>
  </si>
  <si>
    <t xml:space="preserve">TOMATE </t>
  </si>
  <si>
    <t>KIWI</t>
  </si>
  <si>
    <t>ACEITUNAS VERDES DESHUESADAS 1,7KG</t>
  </si>
  <si>
    <t>CILANTRO</t>
  </si>
  <si>
    <t>SEMILLA DE MOSTAZA</t>
  </si>
  <si>
    <t>SAL DE MAR 800GR</t>
  </si>
  <si>
    <t>POROTO NEGRO 1KG</t>
  </si>
  <si>
    <t>CIBULLETT</t>
  </si>
  <si>
    <t>BROCOLI</t>
  </si>
  <si>
    <t>PEPINO</t>
  </si>
  <si>
    <t xml:space="preserve">BOLSA DE BASURA </t>
  </si>
  <si>
    <t>LEVADURA SECA 125G</t>
  </si>
  <si>
    <t>NARANJA</t>
  </si>
  <si>
    <t>PAPEL TAMAÑO CARTA 500 HOJAS</t>
  </si>
  <si>
    <t xml:space="preserve">TROCITOS BARQUILLO </t>
  </si>
  <si>
    <t>PEREJIL</t>
  </si>
  <si>
    <t>AZUCAR RUBIA 500GR</t>
  </si>
  <si>
    <t>ZANAHORIA</t>
  </si>
  <si>
    <t>MASAS LISTAS FILLO 320G</t>
  </si>
  <si>
    <t>JENGIBRE</t>
  </si>
  <si>
    <t>AJI VERDE</t>
  </si>
  <si>
    <t>TRAPERO DOBLE c/OJAL 50x50</t>
  </si>
  <si>
    <t>PAN LIBRE DE GLUTEN MOLDE INTEGRAL</t>
  </si>
  <si>
    <t xml:space="preserve">DESODORANTE AMBIENTAL </t>
  </si>
  <si>
    <t>TRAPERO 50x50 c/OJAL</t>
  </si>
  <si>
    <t>AJO</t>
  </si>
  <si>
    <t xml:space="preserve">ENSALADA LISTA </t>
  </si>
  <si>
    <t>APIO</t>
  </si>
  <si>
    <t>RABANITO</t>
  </si>
  <si>
    <t>ACEITUNAS NEGRAS EN RODAJAS 1,7KG</t>
  </si>
  <si>
    <t xml:space="preserve">POROTO PAYAR </t>
  </si>
  <si>
    <t>GUANTES BLACK S 100pcs</t>
  </si>
  <si>
    <t>ESPONJA PARRILLERA X 3UN</t>
  </si>
  <si>
    <t>LADRILLO PARA PARRILLA</t>
  </si>
  <si>
    <t>ESCOBILLA LAVAROPA</t>
  </si>
  <si>
    <t>LIMPIADOR DE PISO 5LT</t>
  </si>
  <si>
    <t>CLORO GEL 1500LT</t>
  </si>
  <si>
    <t>DESINFECTANTE CUATERNARIO 9% 1LT</t>
  </si>
  <si>
    <t>DETERGENTE DESINCRUSTANTE ACIDO 1LT</t>
  </si>
  <si>
    <t>JABON USO GENERAL EN SPRAY 800ML</t>
  </si>
  <si>
    <t>GUANTE ACTIVEX NITRILO FLOCADO VERDE M</t>
  </si>
  <si>
    <t>LUSTRAMUEBKES 500ML</t>
  </si>
  <si>
    <t>PAPEL HIGENICO</t>
  </si>
  <si>
    <t xml:space="preserve">CACAO MOLIDO </t>
  </si>
  <si>
    <t xml:space="preserve">CANELA MOLIDA </t>
  </si>
  <si>
    <t xml:space="preserve">ANIS </t>
  </si>
  <si>
    <t xml:space="preserve">AJI DE COLOR </t>
  </si>
  <si>
    <t xml:space="preserve">MIX SESAMO </t>
  </si>
  <si>
    <t xml:space="preserve">PIMIENTA BLANCA </t>
  </si>
  <si>
    <t xml:space="preserve">AJO EN POLVO </t>
  </si>
  <si>
    <t xml:space="preserve">COMINO </t>
  </si>
  <si>
    <t xml:space="preserve">PIMIENTA NEGRA </t>
  </si>
  <si>
    <t>PALO DE CANELA</t>
  </si>
  <si>
    <t xml:space="preserve">OREGANO ENTERO </t>
  </si>
  <si>
    <t>HUESILLO</t>
  </si>
  <si>
    <t xml:space="preserve">MIX DE FRUTOS SECOS </t>
  </si>
  <si>
    <t>NUEZ PICADA 200GR</t>
  </si>
  <si>
    <t>CIRUELAS SIN CAROZOS</t>
  </si>
  <si>
    <t>GAS INDIVIDUAL 230GRS</t>
  </si>
  <si>
    <t xml:space="preserve">BOMBILLAS </t>
  </si>
  <si>
    <t xml:space="preserve">METHANOL GEL </t>
  </si>
  <si>
    <t>YOGHURT NATURAL 1KG</t>
  </si>
  <si>
    <t>CHORIZO ARGENTINO</t>
  </si>
  <si>
    <t>CARNE DE JAIBA</t>
  </si>
  <si>
    <t>CABEZA DE PULPO</t>
  </si>
  <si>
    <t>LOMO ASADO</t>
  </si>
  <si>
    <t>CHUTES SALMON FUME 400G</t>
  </si>
  <si>
    <t>PRIETAS</t>
  </si>
  <si>
    <t>SALMON AHUMADO</t>
  </si>
  <si>
    <t>LONGANIZA</t>
  </si>
  <si>
    <t>COSTILLAR VACUNO</t>
  </si>
  <si>
    <t>PECHUGA DESH</t>
  </si>
  <si>
    <t>TAPABARRIGA</t>
  </si>
  <si>
    <t>CONGRIO DORADO</t>
  </si>
  <si>
    <t>DIS230</t>
  </si>
  <si>
    <t>TROZOS DE MANGOS</t>
  </si>
  <si>
    <t>MALAYA EN ROLLO</t>
  </si>
  <si>
    <t>ESENCIA VAINILLA</t>
  </si>
  <si>
    <t>MARKEN</t>
  </si>
  <si>
    <t>UVA VERDE</t>
  </si>
  <si>
    <t>CARNE MOLIDA</t>
  </si>
  <si>
    <t>LOMO VETADO PARAGUAYO</t>
  </si>
  <si>
    <t xml:space="preserve">CHORIZO  </t>
  </si>
  <si>
    <t>LOMO CENTRO</t>
  </si>
  <si>
    <t>AGUA TONICA 350CC ORIGINAL</t>
  </si>
  <si>
    <t>SPRITE ORIGINAL PET 1,5</t>
  </si>
  <si>
    <t>SPRITE 350CC ORIGINAL</t>
  </si>
  <si>
    <t>COCA COLA ZERO PET 1,5</t>
  </si>
  <si>
    <t>SPRITE 350CC ZERO</t>
  </si>
  <si>
    <t>GINGER ALE 350CC ZERO</t>
  </si>
  <si>
    <t>GINGER ALE 350CC ORIGINAL</t>
  </si>
  <si>
    <t xml:space="preserve"> MASA SUCRE 8CM</t>
  </si>
  <si>
    <t>PASTA DE VAINILLA 1KG EUROVANILLE</t>
  </si>
  <si>
    <t>INSPIRACION MARACUYA 3Kg.</t>
  </si>
  <si>
    <t>BLU AGAR AGAR 500 GRS</t>
  </si>
  <si>
    <t>CRISPY FRUTILLA 2-10MM 200GR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</si>
</sst>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$&quot;* #,##0_ ;_ &quot;$&quot;* \-#,##0_ ;_ &quot;$&quot;* &quot;-&quot;_ ;_ @_ 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9.75"/>
    <col customWidth="1" min="3" max="3" width="5.25"/>
    <col customWidth="1" min="4" max="4" width="24.63"/>
    <col customWidth="1" min="5" max="5" width="10.88"/>
    <col customWidth="1" min="6" max="6" width="12.88"/>
    <col customWidth="1" min="7" max="7" width="23.0"/>
    <col customWidth="1" min="8" max="8" width="27.0"/>
    <col customWidth="1" min="9" max="9" width="14.13"/>
    <col customWidth="1" min="10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>
        <f>SUM(F2:F209)</f>
        <v>5913475.15</v>
      </c>
      <c r="G1" s="1" t="s">
        <v>6</v>
      </c>
      <c r="H1" s="1" t="s">
        <v>7</v>
      </c>
      <c r="I1" s="3">
        <f>SUM(I2:I223)</f>
        <v>8296133.8</v>
      </c>
    </row>
    <row r="2" ht="14.25" customHeight="1">
      <c r="A2" s="1" t="s">
        <v>11</v>
      </c>
      <c r="B2" s="1" t="s">
        <v>12</v>
      </c>
      <c r="C2" s="1" t="s">
        <v>13</v>
      </c>
      <c r="D2" s="1">
        <v>1.0</v>
      </c>
      <c r="E2" s="3">
        <v>22060.0</v>
      </c>
      <c r="F2" s="3">
        <f t="shared" ref="F2:F211" si="1">+E2*D2</f>
        <v>22060</v>
      </c>
      <c r="G2" s="1" t="str">
        <f>+VLOOKUP(B2,'producto terminado'!B:D,3,)</f>
        <v/>
      </c>
      <c r="H2" s="1">
        <f t="shared" ref="H2:H228" si="2">+G2+D2</f>
        <v>1</v>
      </c>
      <c r="I2" s="3">
        <f t="shared" ref="I2:I228" si="3">+H2*E2</f>
        <v>22060</v>
      </c>
    </row>
    <row r="3" ht="14.25" customHeight="1">
      <c r="A3" s="1" t="s">
        <v>11</v>
      </c>
      <c r="B3" s="1" t="s">
        <v>24</v>
      </c>
      <c r="C3" s="1" t="s">
        <v>10</v>
      </c>
      <c r="D3" s="1">
        <v>2.0</v>
      </c>
      <c r="E3" s="3">
        <v>15980.0</v>
      </c>
      <c r="F3" s="3">
        <f t="shared" si="1"/>
        <v>31960</v>
      </c>
      <c r="G3" s="1" t="str">
        <f>+VLOOKUP(B3,'producto terminado'!B:D,3,)</f>
        <v/>
      </c>
      <c r="H3" s="1">
        <f t="shared" si="2"/>
        <v>2</v>
      </c>
      <c r="I3" s="3">
        <f t="shared" si="3"/>
        <v>31960</v>
      </c>
    </row>
    <row r="4" ht="14.25" customHeight="1">
      <c r="A4" s="1" t="s">
        <v>11</v>
      </c>
      <c r="B4" s="1" t="s">
        <v>32</v>
      </c>
      <c r="C4" s="1" t="s">
        <v>10</v>
      </c>
      <c r="D4" s="1">
        <v>3.0</v>
      </c>
      <c r="E4" s="3">
        <v>15850.0</v>
      </c>
      <c r="F4" s="3">
        <f t="shared" si="1"/>
        <v>47550</v>
      </c>
      <c r="G4" s="1" t="str">
        <f>+VLOOKUP(B4,'producto terminado'!B:D,3,)</f>
        <v/>
      </c>
      <c r="H4" s="1">
        <f t="shared" si="2"/>
        <v>3</v>
      </c>
      <c r="I4" s="3">
        <f t="shared" si="3"/>
        <v>47550</v>
      </c>
    </row>
    <row r="5" ht="14.25" customHeight="1">
      <c r="A5" s="1" t="s">
        <v>11</v>
      </c>
      <c r="B5" s="1" t="s">
        <v>42</v>
      </c>
      <c r="C5" s="1" t="s">
        <v>43</v>
      </c>
      <c r="D5" s="1">
        <v>0.33</v>
      </c>
      <c r="E5" s="3">
        <v>12489.0</v>
      </c>
      <c r="F5" s="3">
        <f t="shared" si="1"/>
        <v>4121.37</v>
      </c>
      <c r="G5" s="1" t="str">
        <f>+VLOOKUP(B5,'producto terminado'!B:D,3,)</f>
        <v/>
      </c>
      <c r="H5" s="1">
        <f t="shared" si="2"/>
        <v>0.33</v>
      </c>
      <c r="I5" s="3">
        <f t="shared" si="3"/>
        <v>4121.37</v>
      </c>
    </row>
    <row r="6" ht="14.25" customHeight="1">
      <c r="A6" s="1" t="s">
        <v>11</v>
      </c>
      <c r="B6" s="1" t="s">
        <v>45</v>
      </c>
      <c r="C6" s="1" t="s">
        <v>10</v>
      </c>
      <c r="D6" s="1">
        <v>2.0</v>
      </c>
      <c r="E6" s="3">
        <v>7983.0</v>
      </c>
      <c r="F6" s="3">
        <f t="shared" si="1"/>
        <v>15966</v>
      </c>
      <c r="G6" s="1" t="str">
        <f>+VLOOKUP(B6,'producto terminado'!B:D,3,)</f>
        <v/>
      </c>
      <c r="H6" s="1">
        <f t="shared" si="2"/>
        <v>2</v>
      </c>
      <c r="I6" s="3">
        <f t="shared" si="3"/>
        <v>15966</v>
      </c>
    </row>
    <row r="7" ht="14.25" customHeight="1">
      <c r="A7" s="1" t="s">
        <v>11</v>
      </c>
      <c r="B7" s="1" t="s">
        <v>51</v>
      </c>
      <c r="C7" s="1" t="s">
        <v>10</v>
      </c>
      <c r="D7" s="1">
        <v>1.0</v>
      </c>
      <c r="E7" s="3">
        <v>5670.0</v>
      </c>
      <c r="F7" s="3">
        <f t="shared" si="1"/>
        <v>5670</v>
      </c>
      <c r="G7" s="1" t="str">
        <f>+VLOOKUP(B7,'producto terminado'!B:D,3,)</f>
        <v/>
      </c>
      <c r="H7" s="1">
        <f t="shared" si="2"/>
        <v>1</v>
      </c>
      <c r="I7" s="3">
        <f t="shared" si="3"/>
        <v>5670</v>
      </c>
    </row>
    <row r="8" ht="14.25" customHeight="1">
      <c r="A8" s="1" t="s">
        <v>11</v>
      </c>
      <c r="B8" s="1" t="s">
        <v>56</v>
      </c>
      <c r="C8" s="1" t="s">
        <v>43</v>
      </c>
      <c r="D8" s="1">
        <v>1.5</v>
      </c>
      <c r="E8" s="3">
        <v>4760.0</v>
      </c>
      <c r="F8" s="3">
        <f t="shared" si="1"/>
        <v>7140</v>
      </c>
      <c r="G8" s="1" t="str">
        <f>+VLOOKUP(B8,'producto terminado'!B:D,3,)</f>
        <v/>
      </c>
      <c r="H8" s="1">
        <f t="shared" si="2"/>
        <v>1.5</v>
      </c>
      <c r="I8" s="3">
        <f t="shared" si="3"/>
        <v>7140</v>
      </c>
    </row>
    <row r="9" ht="14.25" customHeight="1">
      <c r="A9" s="1" t="s">
        <v>11</v>
      </c>
      <c r="B9" s="1" t="s">
        <v>61</v>
      </c>
      <c r="C9" s="1" t="s">
        <v>43</v>
      </c>
      <c r="D9" s="1">
        <v>0.0</v>
      </c>
      <c r="E9" s="3">
        <v>4520.0</v>
      </c>
      <c r="F9" s="3">
        <f t="shared" si="1"/>
        <v>0</v>
      </c>
      <c r="G9" s="1" t="str">
        <f>+VLOOKUP(B9,'producto terminado'!B:D,3,)</f>
        <v/>
      </c>
      <c r="H9" s="1">
        <f t="shared" si="2"/>
        <v>0</v>
      </c>
      <c r="I9" s="3">
        <f t="shared" si="3"/>
        <v>0</v>
      </c>
    </row>
    <row r="10" ht="14.25" customHeight="1">
      <c r="A10" s="1" t="s">
        <v>11</v>
      </c>
      <c r="B10" s="1" t="s">
        <v>68</v>
      </c>
      <c r="C10" s="1" t="s">
        <v>10</v>
      </c>
      <c r="D10" s="1">
        <v>3.0</v>
      </c>
      <c r="E10" s="3">
        <v>3780.0</v>
      </c>
      <c r="F10" s="3">
        <f t="shared" si="1"/>
        <v>11340</v>
      </c>
      <c r="G10" s="1" t="str">
        <f>+VLOOKUP(B10,'producto terminado'!B:D,3,)</f>
        <v/>
      </c>
      <c r="H10" s="1">
        <f t="shared" si="2"/>
        <v>3</v>
      </c>
      <c r="I10" s="3">
        <f t="shared" si="3"/>
        <v>11340</v>
      </c>
    </row>
    <row r="11" ht="14.25" customHeight="1">
      <c r="A11" s="1" t="s">
        <v>11</v>
      </c>
      <c r="B11" s="1" t="s">
        <v>53</v>
      </c>
      <c r="C11" s="1" t="s">
        <v>13</v>
      </c>
      <c r="D11" s="1">
        <v>16.0</v>
      </c>
      <c r="E11" s="3">
        <v>3600.0</v>
      </c>
      <c r="F11" s="3">
        <f t="shared" si="1"/>
        <v>57600</v>
      </c>
      <c r="G11" s="1">
        <f>+VLOOKUP(B11,'producto terminado'!B:D,3,)</f>
        <v>4</v>
      </c>
      <c r="H11" s="1">
        <f t="shared" si="2"/>
        <v>20</v>
      </c>
      <c r="I11" s="3">
        <f t="shared" si="3"/>
        <v>72000</v>
      </c>
    </row>
    <row r="12" ht="14.25" customHeight="1">
      <c r="A12" s="1" t="s">
        <v>11</v>
      </c>
      <c r="B12" s="1" t="s">
        <v>80</v>
      </c>
      <c r="C12" s="1" t="s">
        <v>13</v>
      </c>
      <c r="D12" s="1">
        <v>1.0</v>
      </c>
      <c r="E12" s="3">
        <v>3450.0</v>
      </c>
      <c r="F12" s="3">
        <f t="shared" si="1"/>
        <v>3450</v>
      </c>
      <c r="G12" s="1" t="str">
        <f>+VLOOKUP(B12,'producto terminado'!B:D,3,)</f>
        <v/>
      </c>
      <c r="H12" s="1">
        <f t="shared" si="2"/>
        <v>1</v>
      </c>
      <c r="I12" s="3">
        <f t="shared" si="3"/>
        <v>3450</v>
      </c>
    </row>
    <row r="13" ht="14.25" customHeight="1">
      <c r="A13" s="1" t="s">
        <v>11</v>
      </c>
      <c r="B13" s="1" t="s">
        <v>85</v>
      </c>
      <c r="C13" s="1" t="s">
        <v>10</v>
      </c>
      <c r="D13" s="1">
        <v>1.0</v>
      </c>
      <c r="E13" s="3">
        <v>3190.0</v>
      </c>
      <c r="F13" s="3">
        <f t="shared" si="1"/>
        <v>3190</v>
      </c>
      <c r="G13" s="1" t="str">
        <f>+VLOOKUP(B13,'producto terminado'!B:D,3,)</f>
        <v/>
      </c>
      <c r="H13" s="1">
        <f t="shared" si="2"/>
        <v>1</v>
      </c>
      <c r="I13" s="3">
        <f t="shared" si="3"/>
        <v>3190</v>
      </c>
    </row>
    <row r="14" ht="14.25" customHeight="1">
      <c r="A14" s="1" t="s">
        <v>11</v>
      </c>
      <c r="B14" s="1" t="s">
        <v>92</v>
      </c>
      <c r="C14" s="1" t="s">
        <v>13</v>
      </c>
      <c r="D14" s="1">
        <v>3.0</v>
      </c>
      <c r="E14" s="3">
        <v>2940.0</v>
      </c>
      <c r="F14" s="3">
        <f t="shared" si="1"/>
        <v>8820</v>
      </c>
      <c r="G14" s="1" t="str">
        <f>+VLOOKUP(B14,'producto terminado'!B:D,3,)</f>
        <v/>
      </c>
      <c r="H14" s="1">
        <f t="shared" si="2"/>
        <v>3</v>
      </c>
      <c r="I14" s="3">
        <f t="shared" si="3"/>
        <v>8820</v>
      </c>
    </row>
    <row r="15" ht="14.25" customHeight="1">
      <c r="A15" s="1" t="s">
        <v>11</v>
      </c>
      <c r="B15" s="1" t="s">
        <v>98</v>
      </c>
      <c r="C15" s="1" t="s">
        <v>10</v>
      </c>
      <c r="D15" s="1">
        <v>1.0</v>
      </c>
      <c r="E15" s="3">
        <v>2860.0</v>
      </c>
      <c r="F15" s="3">
        <f t="shared" si="1"/>
        <v>2860</v>
      </c>
      <c r="G15" s="1" t="str">
        <f>+VLOOKUP(B15,'producto terminado'!B:D,3,)</f>
        <v/>
      </c>
      <c r="H15" s="1">
        <f t="shared" si="2"/>
        <v>1</v>
      </c>
      <c r="I15" s="3">
        <f t="shared" si="3"/>
        <v>2860</v>
      </c>
    </row>
    <row r="16" ht="14.25" customHeight="1">
      <c r="A16" s="1" t="s">
        <v>11</v>
      </c>
      <c r="B16" s="1" t="s">
        <v>102</v>
      </c>
      <c r="C16" s="1" t="s">
        <v>10</v>
      </c>
      <c r="D16" s="1">
        <v>0.0</v>
      </c>
      <c r="E16" s="3">
        <v>2730.0</v>
      </c>
      <c r="F16" s="3">
        <f t="shared" si="1"/>
        <v>0</v>
      </c>
      <c r="G16" s="1" t="str">
        <f>+VLOOKUP(B16,'producto terminado'!B:D,3,)</f>
        <v/>
      </c>
      <c r="H16" s="1">
        <f t="shared" si="2"/>
        <v>0</v>
      </c>
      <c r="I16" s="3">
        <f t="shared" si="3"/>
        <v>0</v>
      </c>
    </row>
    <row r="17" ht="14.25" customHeight="1">
      <c r="A17" s="1" t="s">
        <v>11</v>
      </c>
      <c r="B17" s="1" t="s">
        <v>108</v>
      </c>
      <c r="C17" s="1" t="s">
        <v>13</v>
      </c>
      <c r="D17" s="1">
        <v>2.8</v>
      </c>
      <c r="E17" s="3">
        <v>2630.0</v>
      </c>
      <c r="F17" s="3">
        <f t="shared" si="1"/>
        <v>7364</v>
      </c>
      <c r="G17" s="1" t="str">
        <f>+VLOOKUP(B17,'producto terminado'!B:D,3,)</f>
        <v/>
      </c>
      <c r="H17" s="1">
        <f t="shared" si="2"/>
        <v>2.8</v>
      </c>
      <c r="I17" s="3">
        <f t="shared" si="3"/>
        <v>7364</v>
      </c>
    </row>
    <row r="18" ht="14.25" customHeight="1">
      <c r="A18" s="1" t="s">
        <v>11</v>
      </c>
      <c r="B18" s="1" t="s">
        <v>115</v>
      </c>
      <c r="C18" s="1" t="s">
        <v>13</v>
      </c>
      <c r="D18" s="1">
        <v>3.0</v>
      </c>
      <c r="E18" s="3">
        <v>2628.0</v>
      </c>
      <c r="F18" s="3">
        <f t="shared" si="1"/>
        <v>7884</v>
      </c>
      <c r="G18" s="1" t="str">
        <f>+VLOOKUP(B18,'producto terminado'!B:D,3,)</f>
        <v/>
      </c>
      <c r="H18" s="1">
        <f t="shared" si="2"/>
        <v>3</v>
      </c>
      <c r="I18" s="3">
        <f t="shared" si="3"/>
        <v>7884</v>
      </c>
    </row>
    <row r="19" ht="14.25" customHeight="1">
      <c r="A19" s="1" t="s">
        <v>11</v>
      </c>
      <c r="B19" s="1" t="s">
        <v>120</v>
      </c>
      <c r="C19" s="1" t="s">
        <v>10</v>
      </c>
      <c r="D19" s="1">
        <v>2.0</v>
      </c>
      <c r="E19" s="3">
        <v>2530.0</v>
      </c>
      <c r="F19" s="3">
        <f t="shared" si="1"/>
        <v>5060</v>
      </c>
      <c r="G19" s="1" t="str">
        <f>+VLOOKUP(B19,'producto terminado'!B:D,3,)</f>
        <v/>
      </c>
      <c r="H19" s="1">
        <f t="shared" si="2"/>
        <v>2</v>
      </c>
      <c r="I19" s="3">
        <f t="shared" si="3"/>
        <v>5060</v>
      </c>
    </row>
    <row r="20" ht="14.25" customHeight="1">
      <c r="A20" s="1" t="s">
        <v>11</v>
      </c>
      <c r="B20" s="1" t="s">
        <v>125</v>
      </c>
      <c r="C20" s="1" t="s">
        <v>10</v>
      </c>
      <c r="D20" s="1">
        <v>3.0</v>
      </c>
      <c r="E20" s="3">
        <v>2530.0</v>
      </c>
      <c r="F20" s="3">
        <f t="shared" si="1"/>
        <v>7590</v>
      </c>
      <c r="G20" s="1" t="str">
        <f>+VLOOKUP(B20,'producto terminado'!B:D,3,)</f>
        <v/>
      </c>
      <c r="H20" s="1">
        <f t="shared" si="2"/>
        <v>3</v>
      </c>
      <c r="I20" s="3">
        <f t="shared" si="3"/>
        <v>7590</v>
      </c>
    </row>
    <row r="21" ht="14.25" customHeight="1">
      <c r="A21" s="1" t="s">
        <v>11</v>
      </c>
      <c r="B21" s="1" t="s">
        <v>130</v>
      </c>
      <c r="C21" s="1" t="s">
        <v>13</v>
      </c>
      <c r="D21" s="1">
        <v>4.4</v>
      </c>
      <c r="E21" s="3">
        <v>2364.0</v>
      </c>
      <c r="F21" s="3">
        <f t="shared" si="1"/>
        <v>10401.6</v>
      </c>
      <c r="G21" s="1" t="str">
        <f>+VLOOKUP(B21,'producto terminado'!B:D,3,)</f>
        <v/>
      </c>
      <c r="H21" s="1">
        <f t="shared" si="2"/>
        <v>4.4</v>
      </c>
      <c r="I21" s="3">
        <f t="shared" si="3"/>
        <v>10401.6</v>
      </c>
    </row>
    <row r="22" ht="14.25" customHeight="1">
      <c r="A22" s="1" t="s">
        <v>11</v>
      </c>
      <c r="B22" s="1" t="s">
        <v>138</v>
      </c>
      <c r="C22" s="1" t="s">
        <v>13</v>
      </c>
      <c r="D22" s="1">
        <v>2.5</v>
      </c>
      <c r="E22" s="3">
        <v>1890.0</v>
      </c>
      <c r="F22" s="3">
        <f t="shared" si="1"/>
        <v>4725</v>
      </c>
      <c r="G22" s="1" t="str">
        <f>+VLOOKUP(B22,'producto terminado'!B:D,3,)</f>
        <v/>
      </c>
      <c r="H22" s="1">
        <f t="shared" si="2"/>
        <v>2.5</v>
      </c>
      <c r="I22" s="3">
        <f t="shared" si="3"/>
        <v>4725</v>
      </c>
    </row>
    <row r="23" ht="14.25" customHeight="1">
      <c r="A23" s="1" t="s">
        <v>11</v>
      </c>
      <c r="B23" s="1" t="s">
        <v>143</v>
      </c>
      <c r="C23" s="1" t="s">
        <v>10</v>
      </c>
      <c r="D23" s="1">
        <v>2.0</v>
      </c>
      <c r="E23" s="3">
        <v>1889.0</v>
      </c>
      <c r="F23" s="3">
        <f t="shared" si="1"/>
        <v>3778</v>
      </c>
      <c r="G23" s="1" t="str">
        <f>+VLOOKUP(B23,'producto terminado'!B:D,3,)</f>
        <v/>
      </c>
      <c r="H23" s="1">
        <f t="shared" si="2"/>
        <v>2</v>
      </c>
      <c r="I23" s="3">
        <f t="shared" si="3"/>
        <v>3778</v>
      </c>
    </row>
    <row r="24" ht="14.25" customHeight="1">
      <c r="A24" s="1" t="s">
        <v>11</v>
      </c>
      <c r="B24" s="1" t="s">
        <v>148</v>
      </c>
      <c r="C24" s="1" t="s">
        <v>13</v>
      </c>
      <c r="D24" s="1">
        <v>2.0</v>
      </c>
      <c r="E24" s="3">
        <v>1800.0</v>
      </c>
      <c r="F24" s="3">
        <f t="shared" si="1"/>
        <v>3600</v>
      </c>
      <c r="G24" s="1" t="str">
        <f>+VLOOKUP(B24,'producto terminado'!B:D,3,)</f>
        <v/>
      </c>
      <c r="H24" s="1">
        <f t="shared" si="2"/>
        <v>2</v>
      </c>
      <c r="I24" s="3">
        <f t="shared" si="3"/>
        <v>3600</v>
      </c>
    </row>
    <row r="25" ht="14.25" customHeight="1">
      <c r="A25" s="1" t="s">
        <v>11</v>
      </c>
      <c r="B25" s="1" t="s">
        <v>153</v>
      </c>
      <c r="C25" s="1" t="s">
        <v>10</v>
      </c>
      <c r="D25" s="1">
        <v>5.0</v>
      </c>
      <c r="E25" s="3">
        <v>1350.0</v>
      </c>
      <c r="F25" s="3">
        <f t="shared" si="1"/>
        <v>6750</v>
      </c>
      <c r="G25" s="1" t="str">
        <f>+VLOOKUP(B25,'producto terminado'!B:D,3,)</f>
        <v/>
      </c>
      <c r="H25" s="1">
        <f t="shared" si="2"/>
        <v>5</v>
      </c>
      <c r="I25" s="3">
        <f t="shared" si="3"/>
        <v>6750</v>
      </c>
    </row>
    <row r="26" ht="14.25" customHeight="1">
      <c r="A26" s="1" t="s">
        <v>11</v>
      </c>
      <c r="B26" s="1" t="s">
        <v>157</v>
      </c>
      <c r="C26" s="1" t="s">
        <v>10</v>
      </c>
      <c r="D26" s="1">
        <v>5.0</v>
      </c>
      <c r="E26" s="3">
        <v>1120.0</v>
      </c>
      <c r="F26" s="3">
        <f t="shared" si="1"/>
        <v>5600</v>
      </c>
      <c r="G26" s="1" t="str">
        <f>+VLOOKUP(B26,'producto terminado'!B:D,3,)</f>
        <v/>
      </c>
      <c r="H26" s="1">
        <f t="shared" si="2"/>
        <v>5</v>
      </c>
      <c r="I26" s="3">
        <f t="shared" si="3"/>
        <v>5600</v>
      </c>
    </row>
    <row r="27" ht="14.25" customHeight="1">
      <c r="A27" s="1" t="s">
        <v>11</v>
      </c>
      <c r="B27" s="1" t="s">
        <v>113</v>
      </c>
      <c r="C27" s="1" t="s">
        <v>10</v>
      </c>
      <c r="D27" s="1">
        <v>112.0</v>
      </c>
      <c r="E27" s="3">
        <v>125.0</v>
      </c>
      <c r="F27" s="3">
        <f t="shared" si="1"/>
        <v>14000</v>
      </c>
      <c r="G27" s="1" t="str">
        <f>+VLOOKUP(B27,'producto terminado'!B:D,3,)</f>
        <v/>
      </c>
      <c r="H27" s="1">
        <f t="shared" si="2"/>
        <v>112</v>
      </c>
      <c r="I27" s="3">
        <f t="shared" si="3"/>
        <v>14000</v>
      </c>
    </row>
    <row r="28" ht="14.25" customHeight="1">
      <c r="A28" s="1" t="s">
        <v>11</v>
      </c>
      <c r="B28" s="1" t="s">
        <v>162</v>
      </c>
      <c r="C28" s="1" t="s">
        <v>10</v>
      </c>
      <c r="D28" s="1">
        <v>1.0</v>
      </c>
      <c r="E28" s="3"/>
      <c r="F28" s="3">
        <f t="shared" si="1"/>
        <v>0</v>
      </c>
      <c r="G28" s="1" t="str">
        <f>+VLOOKUP(B28,'producto terminado'!B:D,3,)</f>
        <v/>
      </c>
      <c r="H28" s="1">
        <f t="shared" si="2"/>
        <v>1</v>
      </c>
      <c r="I28" s="3">
        <f t="shared" si="3"/>
        <v>0</v>
      </c>
    </row>
    <row r="29" ht="14.25" customHeight="1">
      <c r="A29" s="1" t="s">
        <v>11</v>
      </c>
      <c r="B29" s="1" t="s">
        <v>169</v>
      </c>
      <c r="C29" s="1" t="s">
        <v>10</v>
      </c>
      <c r="D29" s="1">
        <v>1.0</v>
      </c>
      <c r="E29" s="3"/>
      <c r="F29" s="3">
        <f t="shared" si="1"/>
        <v>0</v>
      </c>
      <c r="G29" s="1" t="str">
        <f>+VLOOKUP(B29,'producto terminado'!B:D,3,)</f>
        <v/>
      </c>
      <c r="H29" s="1">
        <f t="shared" si="2"/>
        <v>1</v>
      </c>
      <c r="I29" s="3">
        <f t="shared" si="3"/>
        <v>0</v>
      </c>
    </row>
    <row r="30" ht="14.25" customHeight="1">
      <c r="A30" s="1" t="s">
        <v>11</v>
      </c>
      <c r="B30" s="1" t="s">
        <v>173</v>
      </c>
      <c r="C30" s="1" t="s">
        <v>10</v>
      </c>
      <c r="D30" s="1">
        <v>1.0</v>
      </c>
      <c r="E30" s="3"/>
      <c r="F30" s="3">
        <f t="shared" si="1"/>
        <v>0</v>
      </c>
      <c r="G30" s="1" t="str">
        <f>+VLOOKUP(B30,'producto terminado'!B:D,3,)</f>
        <v/>
      </c>
      <c r="H30" s="1">
        <f t="shared" si="2"/>
        <v>1</v>
      </c>
      <c r="I30" s="3">
        <f t="shared" si="3"/>
        <v>0</v>
      </c>
    </row>
    <row r="31" ht="14.25" customHeight="1">
      <c r="A31" s="1" t="s">
        <v>11</v>
      </c>
      <c r="B31" s="1" t="s">
        <v>177</v>
      </c>
      <c r="C31" s="1" t="s">
        <v>10</v>
      </c>
      <c r="D31" s="1">
        <v>1.0</v>
      </c>
      <c r="E31" s="3"/>
      <c r="F31" s="3">
        <f t="shared" si="1"/>
        <v>0</v>
      </c>
      <c r="G31" s="1" t="str">
        <f>+VLOOKUP(B31,'producto terminado'!B:D,3,)</f>
        <v/>
      </c>
      <c r="H31" s="1">
        <f t="shared" si="2"/>
        <v>1</v>
      </c>
      <c r="I31" s="3">
        <f t="shared" si="3"/>
        <v>0</v>
      </c>
    </row>
    <row r="32" ht="14.25" customHeight="1">
      <c r="A32" s="1" t="s">
        <v>11</v>
      </c>
      <c r="B32" s="1" t="s">
        <v>182</v>
      </c>
      <c r="C32" s="1" t="s">
        <v>10</v>
      </c>
      <c r="D32" s="1">
        <v>1.0</v>
      </c>
      <c r="E32" s="3"/>
      <c r="F32" s="3">
        <f t="shared" si="1"/>
        <v>0</v>
      </c>
      <c r="G32" s="1" t="str">
        <f>+VLOOKUP(B32,'producto terminado'!B:D,3,)</f>
        <v/>
      </c>
      <c r="H32" s="1">
        <f t="shared" si="2"/>
        <v>1</v>
      </c>
      <c r="I32" s="3">
        <f t="shared" si="3"/>
        <v>0</v>
      </c>
    </row>
    <row r="33" ht="14.25" customHeight="1">
      <c r="A33" s="1" t="s">
        <v>11</v>
      </c>
      <c r="B33" s="1" t="s">
        <v>185</v>
      </c>
      <c r="C33" s="1" t="s">
        <v>13</v>
      </c>
      <c r="D33" s="1">
        <v>1.0</v>
      </c>
      <c r="E33" s="3"/>
      <c r="F33" s="3">
        <f t="shared" si="1"/>
        <v>0</v>
      </c>
      <c r="G33" s="1" t="str">
        <f>+VLOOKUP(B33,'producto terminado'!B:D,3,)</f>
        <v/>
      </c>
      <c r="H33" s="1">
        <f t="shared" si="2"/>
        <v>1</v>
      </c>
      <c r="I33" s="3">
        <f t="shared" si="3"/>
        <v>0</v>
      </c>
    </row>
    <row r="34" ht="14.25" customHeight="1">
      <c r="A34" s="1" t="s">
        <v>11</v>
      </c>
      <c r="B34" s="1" t="s">
        <v>189</v>
      </c>
      <c r="C34" s="1" t="s">
        <v>10</v>
      </c>
      <c r="D34" s="1">
        <v>0.0</v>
      </c>
      <c r="E34" s="3"/>
      <c r="F34" s="3">
        <f t="shared" si="1"/>
        <v>0</v>
      </c>
      <c r="G34" s="1" t="str">
        <f>+VLOOKUP(B34,'producto terminado'!B:D,3,)</f>
        <v/>
      </c>
      <c r="H34" s="1">
        <f t="shared" si="2"/>
        <v>0</v>
      </c>
      <c r="I34" s="3">
        <f t="shared" si="3"/>
        <v>0</v>
      </c>
    </row>
    <row r="35" ht="14.25" customHeight="1">
      <c r="A35" s="1" t="s">
        <v>11</v>
      </c>
      <c r="B35" s="1" t="s">
        <v>193</v>
      </c>
      <c r="C35" s="1" t="s">
        <v>10</v>
      </c>
      <c r="D35" s="1">
        <v>1.0</v>
      </c>
      <c r="E35" s="3"/>
      <c r="F35" s="3">
        <f t="shared" si="1"/>
        <v>0</v>
      </c>
      <c r="G35" s="1" t="str">
        <f>+VLOOKUP(B35,'producto terminado'!B:D,3,)</f>
        <v/>
      </c>
      <c r="H35" s="1">
        <f t="shared" si="2"/>
        <v>1</v>
      </c>
      <c r="I35" s="3">
        <f t="shared" si="3"/>
        <v>0</v>
      </c>
    </row>
    <row r="36" ht="14.25" customHeight="1">
      <c r="A36" s="1" t="s">
        <v>11</v>
      </c>
      <c r="B36" s="1" t="s">
        <v>197</v>
      </c>
      <c r="C36" s="1" t="s">
        <v>13</v>
      </c>
      <c r="D36" s="1">
        <v>2.5</v>
      </c>
      <c r="E36" s="3"/>
      <c r="F36" s="3">
        <f t="shared" si="1"/>
        <v>0</v>
      </c>
      <c r="G36" s="1" t="str">
        <f>+VLOOKUP(B36,'producto terminado'!B:D,3,)</f>
        <v/>
      </c>
      <c r="H36" s="1">
        <f t="shared" si="2"/>
        <v>2.5</v>
      </c>
      <c r="I36" s="3">
        <f t="shared" si="3"/>
        <v>0</v>
      </c>
    </row>
    <row r="37" ht="14.25" customHeight="1">
      <c r="A37" s="1" t="s">
        <v>11</v>
      </c>
      <c r="B37" s="1" t="s">
        <v>200</v>
      </c>
      <c r="C37" s="1" t="s">
        <v>10</v>
      </c>
      <c r="D37" s="1">
        <v>2.0</v>
      </c>
      <c r="E37" s="3"/>
      <c r="F37" s="3">
        <f t="shared" si="1"/>
        <v>0</v>
      </c>
      <c r="G37" s="1" t="str">
        <f>+VLOOKUP(B37,'producto terminado'!B:D,3,)</f>
        <v/>
      </c>
      <c r="H37" s="1">
        <f t="shared" si="2"/>
        <v>2</v>
      </c>
      <c r="I37" s="3">
        <f t="shared" si="3"/>
        <v>0</v>
      </c>
    </row>
    <row r="38" ht="14.25" customHeight="1">
      <c r="A38" s="1" t="s">
        <v>11</v>
      </c>
      <c r="B38" s="1" t="s">
        <v>201</v>
      </c>
      <c r="C38" s="1" t="s">
        <v>13</v>
      </c>
      <c r="D38" s="1">
        <v>0.0</v>
      </c>
      <c r="E38" s="3"/>
      <c r="F38" s="3">
        <f t="shared" si="1"/>
        <v>0</v>
      </c>
      <c r="G38" s="1" t="str">
        <f>+VLOOKUP(B38,'producto terminado'!B:D,3,)</f>
        <v/>
      </c>
      <c r="H38" s="1">
        <f t="shared" si="2"/>
        <v>0</v>
      </c>
      <c r="I38" s="3">
        <f t="shared" si="3"/>
        <v>0</v>
      </c>
    </row>
    <row r="39" ht="14.25" customHeight="1">
      <c r="A39" s="1" t="s">
        <v>86</v>
      </c>
      <c r="B39" s="1" t="s">
        <v>100</v>
      </c>
      <c r="C39" s="1" t="s">
        <v>88</v>
      </c>
      <c r="D39" s="1">
        <v>6.0</v>
      </c>
      <c r="E39" s="3">
        <v>6578.0</v>
      </c>
      <c r="F39" s="3">
        <f t="shared" si="1"/>
        <v>39468</v>
      </c>
      <c r="G39" s="1" t="str">
        <f>+VLOOKUP(B39,'producto terminado'!B:D,3,)</f>
        <v/>
      </c>
      <c r="H39" s="1">
        <f t="shared" si="2"/>
        <v>6</v>
      </c>
      <c r="I39" s="3">
        <f t="shared" si="3"/>
        <v>39468</v>
      </c>
    </row>
    <row r="40" ht="14.25" customHeight="1">
      <c r="A40" s="1" t="s">
        <v>86</v>
      </c>
      <c r="B40" s="1" t="s">
        <v>163</v>
      </c>
      <c r="C40" s="1" t="s">
        <v>164</v>
      </c>
      <c r="D40" s="1">
        <v>4.0</v>
      </c>
      <c r="E40" s="3">
        <v>4650.0</v>
      </c>
      <c r="F40" s="3">
        <f t="shared" si="1"/>
        <v>18600</v>
      </c>
      <c r="G40" s="1" t="str">
        <f>+VLOOKUP(B40,'producto terminado'!B:D,3,)</f>
        <v/>
      </c>
      <c r="H40" s="1">
        <f t="shared" si="2"/>
        <v>4</v>
      </c>
      <c r="I40" s="3">
        <f t="shared" si="3"/>
        <v>18600</v>
      </c>
    </row>
    <row r="41" ht="14.25" customHeight="1">
      <c r="A41" s="1" t="s">
        <v>86</v>
      </c>
      <c r="B41" s="1" t="s">
        <v>202</v>
      </c>
      <c r="C41" s="1" t="s">
        <v>164</v>
      </c>
      <c r="D41" s="1">
        <v>2.0</v>
      </c>
      <c r="E41" s="3">
        <v>4650.0</v>
      </c>
      <c r="F41" s="3">
        <f t="shared" si="1"/>
        <v>9300</v>
      </c>
      <c r="G41" s="1" t="str">
        <f>+VLOOKUP(B41,'producto terminado'!B:D,3,)</f>
        <v/>
      </c>
      <c r="H41" s="1">
        <f t="shared" si="2"/>
        <v>2</v>
      </c>
      <c r="I41" s="3">
        <f t="shared" si="3"/>
        <v>9300</v>
      </c>
    </row>
    <row r="42" ht="14.25" customHeight="1">
      <c r="A42" s="1" t="s">
        <v>86</v>
      </c>
      <c r="B42" s="1" t="s">
        <v>159</v>
      </c>
      <c r="C42" s="1" t="s">
        <v>88</v>
      </c>
      <c r="D42" s="1">
        <v>5.0</v>
      </c>
      <c r="E42" s="3">
        <v>2035.0</v>
      </c>
      <c r="F42" s="3">
        <f t="shared" si="1"/>
        <v>10175</v>
      </c>
      <c r="G42" s="1" t="str">
        <f>+VLOOKUP(B42,'producto terminado'!B:D,3,)</f>
        <v/>
      </c>
      <c r="H42" s="1">
        <f t="shared" si="2"/>
        <v>5</v>
      </c>
      <c r="I42" s="3">
        <f t="shared" si="3"/>
        <v>10175</v>
      </c>
    </row>
    <row r="43" ht="14.25" customHeight="1">
      <c r="A43" s="1" t="s">
        <v>86</v>
      </c>
      <c r="B43" s="1" t="s">
        <v>135</v>
      </c>
      <c r="C43" s="1" t="s">
        <v>136</v>
      </c>
      <c r="D43" s="1">
        <v>6.0</v>
      </c>
      <c r="E43" s="3">
        <v>1640.0</v>
      </c>
      <c r="F43" s="3">
        <f t="shared" si="1"/>
        <v>9840</v>
      </c>
      <c r="G43" s="1" t="str">
        <f>+VLOOKUP(B43,'producto terminado'!B:D,3,)</f>
        <v/>
      </c>
      <c r="H43" s="1">
        <f t="shared" si="2"/>
        <v>6</v>
      </c>
      <c r="I43" s="3">
        <f t="shared" si="3"/>
        <v>9840</v>
      </c>
    </row>
    <row r="44" ht="14.25" customHeight="1">
      <c r="A44" s="1" t="s">
        <v>86</v>
      </c>
      <c r="B44" s="1" t="s">
        <v>192</v>
      </c>
      <c r="C44" s="1" t="s">
        <v>88</v>
      </c>
      <c r="D44" s="1">
        <v>1.0</v>
      </c>
      <c r="E44" s="3">
        <v>1470.0</v>
      </c>
      <c r="F44" s="3">
        <f t="shared" si="1"/>
        <v>1470</v>
      </c>
      <c r="G44" s="1" t="str">
        <f>+VLOOKUP(B44,'producto terminado'!B:D,3,)</f>
        <v/>
      </c>
      <c r="H44" s="1">
        <f t="shared" si="2"/>
        <v>1</v>
      </c>
      <c r="I44" s="3">
        <f t="shared" si="3"/>
        <v>1470</v>
      </c>
    </row>
    <row r="45" ht="14.25" customHeight="1">
      <c r="A45" s="1" t="s">
        <v>86</v>
      </c>
      <c r="B45" s="1" t="s">
        <v>194</v>
      </c>
      <c r="C45" s="1" t="s">
        <v>88</v>
      </c>
      <c r="D45" s="1">
        <v>1.0</v>
      </c>
      <c r="E45" s="3">
        <v>1190.0</v>
      </c>
      <c r="F45" s="3">
        <f t="shared" si="1"/>
        <v>1190</v>
      </c>
      <c r="G45" s="1" t="str">
        <f>+VLOOKUP(B45,'producto terminado'!B:D,3,)</f>
        <v/>
      </c>
      <c r="H45" s="1">
        <f t="shared" si="2"/>
        <v>1</v>
      </c>
      <c r="I45" s="3">
        <f t="shared" si="3"/>
        <v>1190</v>
      </c>
    </row>
    <row r="46" ht="14.25" customHeight="1">
      <c r="A46" s="1" t="s">
        <v>86</v>
      </c>
      <c r="B46" s="1" t="s">
        <v>195</v>
      </c>
      <c r="C46" s="1" t="s">
        <v>88</v>
      </c>
      <c r="D46" s="1">
        <v>1.0</v>
      </c>
      <c r="E46" s="3">
        <v>1030.0</v>
      </c>
      <c r="F46" s="3">
        <f t="shared" si="1"/>
        <v>1030</v>
      </c>
      <c r="G46" s="1" t="str">
        <f>+VLOOKUP(B46,'producto terminado'!B:D,3,)</f>
        <v/>
      </c>
      <c r="H46" s="1">
        <f t="shared" si="2"/>
        <v>1</v>
      </c>
      <c r="I46" s="3">
        <f t="shared" si="3"/>
        <v>1030</v>
      </c>
    </row>
    <row r="47" ht="14.25" customHeight="1">
      <c r="A47" s="1" t="s">
        <v>86</v>
      </c>
      <c r="B47" s="1" t="s">
        <v>87</v>
      </c>
      <c r="C47" s="1" t="s">
        <v>88</v>
      </c>
      <c r="D47" s="1">
        <v>100.0</v>
      </c>
      <c r="E47" s="3">
        <v>940.0</v>
      </c>
      <c r="F47" s="3">
        <f t="shared" si="1"/>
        <v>94000</v>
      </c>
      <c r="G47" s="1" t="str">
        <f>+VLOOKUP(B47,'producto terminado'!B:D,3,)</f>
        <v/>
      </c>
      <c r="H47" s="1">
        <f t="shared" si="2"/>
        <v>100</v>
      </c>
      <c r="I47" s="3">
        <f t="shared" si="3"/>
        <v>94000</v>
      </c>
    </row>
    <row r="48" ht="14.25" customHeight="1">
      <c r="A48" s="1" t="s">
        <v>86</v>
      </c>
      <c r="B48" s="1" t="s">
        <v>144</v>
      </c>
      <c r="C48" s="1" t="s">
        <v>88</v>
      </c>
      <c r="D48" s="1">
        <v>13.0</v>
      </c>
      <c r="E48" s="3">
        <v>930.0</v>
      </c>
      <c r="F48" s="3">
        <f t="shared" si="1"/>
        <v>12090</v>
      </c>
      <c r="G48" s="1" t="str">
        <f>+VLOOKUP(B48,'producto terminado'!B:D,3,)</f>
        <v/>
      </c>
      <c r="H48" s="1">
        <f t="shared" si="2"/>
        <v>13</v>
      </c>
      <c r="I48" s="3">
        <f t="shared" si="3"/>
        <v>12090</v>
      </c>
    </row>
    <row r="49" ht="14.25" customHeight="1">
      <c r="A49" s="1" t="s">
        <v>86</v>
      </c>
      <c r="B49" s="1" t="s">
        <v>93</v>
      </c>
      <c r="C49" s="1" t="s">
        <v>88</v>
      </c>
      <c r="D49" s="1">
        <v>100.0</v>
      </c>
      <c r="E49" s="3">
        <v>766.0</v>
      </c>
      <c r="F49" s="3">
        <f t="shared" si="1"/>
        <v>76600</v>
      </c>
      <c r="G49" s="1" t="str">
        <f>+VLOOKUP(B49,'producto terminado'!B:D,3,)</f>
        <v/>
      </c>
      <c r="H49" s="1">
        <f t="shared" si="2"/>
        <v>100</v>
      </c>
      <c r="I49" s="3">
        <f t="shared" si="3"/>
        <v>76600</v>
      </c>
    </row>
    <row r="50" ht="14.25" customHeight="1">
      <c r="A50" s="1" t="s">
        <v>86</v>
      </c>
      <c r="B50" s="1" t="s">
        <v>111</v>
      </c>
      <c r="C50" s="1" t="s">
        <v>88</v>
      </c>
      <c r="D50" s="1">
        <v>148.0</v>
      </c>
      <c r="E50" s="3">
        <v>230.0</v>
      </c>
      <c r="F50" s="3">
        <f t="shared" si="1"/>
        <v>34040</v>
      </c>
      <c r="G50" s="1" t="str">
        <f>+VLOOKUP(B50,'producto terminado'!B:D,3,)</f>
        <v/>
      </c>
      <c r="H50" s="1">
        <f t="shared" si="2"/>
        <v>148</v>
      </c>
      <c r="I50" s="3">
        <f t="shared" si="3"/>
        <v>34040</v>
      </c>
    </row>
    <row r="51" ht="14.25" customHeight="1">
      <c r="A51" s="1" t="s">
        <v>86</v>
      </c>
      <c r="B51" s="1" t="s">
        <v>181</v>
      </c>
      <c r="C51" s="1" t="s">
        <v>88</v>
      </c>
      <c r="D51" s="1">
        <v>5.0</v>
      </c>
      <c r="E51" s="3">
        <v>230.0</v>
      </c>
      <c r="F51" s="3">
        <f t="shared" si="1"/>
        <v>1150</v>
      </c>
      <c r="G51" s="1" t="str">
        <f>+VLOOKUP(B51,'producto terminado'!B:D,3,)</f>
        <v/>
      </c>
      <c r="H51" s="1">
        <f t="shared" si="2"/>
        <v>5</v>
      </c>
      <c r="I51" s="3">
        <f t="shared" si="3"/>
        <v>1150</v>
      </c>
    </row>
    <row r="52" ht="14.25" customHeight="1">
      <c r="A52" s="1" t="s">
        <v>86</v>
      </c>
      <c r="B52" s="1" t="s">
        <v>150</v>
      </c>
      <c r="C52" s="1" t="s">
        <v>88</v>
      </c>
      <c r="D52" s="1">
        <v>20.0</v>
      </c>
      <c r="E52" s="3">
        <v>170.0</v>
      </c>
      <c r="F52" s="3">
        <f t="shared" si="1"/>
        <v>3400</v>
      </c>
      <c r="G52" s="1" t="str">
        <f>+VLOOKUP(B52,'producto terminado'!B:D,3,)</f>
        <v/>
      </c>
      <c r="H52" s="1">
        <f t="shared" si="2"/>
        <v>20</v>
      </c>
      <c r="I52" s="3">
        <f t="shared" si="3"/>
        <v>3400</v>
      </c>
    </row>
    <row r="53" ht="14.25" customHeight="1">
      <c r="A53" s="1" t="s">
        <v>86</v>
      </c>
      <c r="B53" s="1" t="s">
        <v>203</v>
      </c>
      <c r="C53" s="1" t="s">
        <v>88</v>
      </c>
      <c r="D53" s="1">
        <v>14.0</v>
      </c>
      <c r="E53" s="3">
        <v>2490.0</v>
      </c>
      <c r="F53" s="3">
        <f t="shared" si="1"/>
        <v>34860</v>
      </c>
      <c r="G53" s="1" t="str">
        <f>+VLOOKUP(B53,'producto terminado'!B:D,3,)</f>
        <v/>
      </c>
      <c r="H53" s="1">
        <f t="shared" si="2"/>
        <v>14</v>
      </c>
      <c r="I53" s="3">
        <f t="shared" si="3"/>
        <v>34860</v>
      </c>
    </row>
    <row r="54" ht="14.25" customHeight="1">
      <c r="A54" s="1" t="s">
        <v>86</v>
      </c>
      <c r="B54" s="1" t="s">
        <v>204</v>
      </c>
      <c r="C54" s="1" t="s">
        <v>88</v>
      </c>
      <c r="D54" s="1">
        <v>9.0</v>
      </c>
      <c r="E54" s="3">
        <v>4909.0</v>
      </c>
      <c r="F54" s="3">
        <f t="shared" si="1"/>
        <v>44181</v>
      </c>
      <c r="G54" s="1" t="str">
        <f>+VLOOKUP(B54,'producto terminado'!B:D,3,)</f>
        <v/>
      </c>
      <c r="H54" s="1">
        <f t="shared" si="2"/>
        <v>9</v>
      </c>
      <c r="I54" s="3">
        <f t="shared" si="3"/>
        <v>44181</v>
      </c>
    </row>
    <row r="55" ht="14.25" customHeight="1">
      <c r="A55" s="1" t="s">
        <v>86</v>
      </c>
      <c r="B55" s="1" t="s">
        <v>205</v>
      </c>
      <c r="C55" s="1" t="s">
        <v>88</v>
      </c>
      <c r="D55" s="1">
        <v>1.0</v>
      </c>
      <c r="E55" s="3"/>
      <c r="F55" s="3">
        <f t="shared" si="1"/>
        <v>0</v>
      </c>
      <c r="G55" s="1" t="str">
        <f>+VLOOKUP(B55,'producto terminado'!B:D,3,)</f>
        <v/>
      </c>
      <c r="H55" s="1">
        <f t="shared" si="2"/>
        <v>1</v>
      </c>
      <c r="I55" s="3">
        <f t="shared" si="3"/>
        <v>0</v>
      </c>
    </row>
    <row r="56" ht="14.25" customHeight="1">
      <c r="A56" s="1" t="s">
        <v>86</v>
      </c>
      <c r="B56" s="1" t="s">
        <v>206</v>
      </c>
      <c r="C56" s="1" t="s">
        <v>88</v>
      </c>
      <c r="D56" s="1">
        <v>4.0</v>
      </c>
      <c r="E56" s="3"/>
      <c r="F56" s="3">
        <f t="shared" si="1"/>
        <v>0</v>
      </c>
      <c r="G56" s="1" t="str">
        <f>+VLOOKUP(B56,'producto terminado'!B:D,3,)</f>
        <v/>
      </c>
      <c r="H56" s="1">
        <f t="shared" si="2"/>
        <v>4</v>
      </c>
      <c r="I56" s="3">
        <f t="shared" si="3"/>
        <v>0</v>
      </c>
    </row>
    <row r="57" ht="14.25" customHeight="1">
      <c r="A57" s="1" t="s">
        <v>86</v>
      </c>
      <c r="B57" s="1" t="s">
        <v>207</v>
      </c>
      <c r="C57" s="1" t="s">
        <v>88</v>
      </c>
      <c r="D57" s="1">
        <v>2.0</v>
      </c>
      <c r="E57" s="3"/>
      <c r="F57" s="3">
        <f t="shared" si="1"/>
        <v>0</v>
      </c>
      <c r="G57" s="1" t="str">
        <f>+VLOOKUP(B57,'producto terminado'!B:D,3,)</f>
        <v/>
      </c>
      <c r="H57" s="1">
        <f t="shared" si="2"/>
        <v>2</v>
      </c>
      <c r="I57" s="3">
        <f t="shared" si="3"/>
        <v>0</v>
      </c>
    </row>
    <row r="58" ht="14.25" customHeight="1">
      <c r="A58" s="1" t="s">
        <v>86</v>
      </c>
      <c r="B58" s="1" t="s">
        <v>208</v>
      </c>
      <c r="C58" s="1" t="s">
        <v>88</v>
      </c>
      <c r="D58" s="1">
        <v>4.0</v>
      </c>
      <c r="E58" s="3"/>
      <c r="F58" s="3">
        <f t="shared" si="1"/>
        <v>0</v>
      </c>
      <c r="G58" s="1" t="str">
        <f>+VLOOKUP(B58,'producto terminado'!B:D,3,)</f>
        <v/>
      </c>
      <c r="H58" s="1">
        <f t="shared" si="2"/>
        <v>4</v>
      </c>
      <c r="I58" s="3">
        <f t="shared" si="3"/>
        <v>0</v>
      </c>
    </row>
    <row r="59" ht="14.25" customHeight="1">
      <c r="A59" s="1" t="s">
        <v>86</v>
      </c>
      <c r="B59" s="1" t="s">
        <v>209</v>
      </c>
      <c r="C59" s="1" t="s">
        <v>88</v>
      </c>
      <c r="D59" s="1">
        <v>1.0</v>
      </c>
      <c r="E59" s="3"/>
      <c r="F59" s="3">
        <f t="shared" si="1"/>
        <v>0</v>
      </c>
      <c r="G59" s="1" t="str">
        <f>+VLOOKUP(B59,'producto terminado'!B:D,3,)</f>
        <v/>
      </c>
      <c r="H59" s="1">
        <f t="shared" si="2"/>
        <v>1</v>
      </c>
      <c r="I59" s="3">
        <f t="shared" si="3"/>
        <v>0</v>
      </c>
    </row>
    <row r="60" ht="14.25" customHeight="1">
      <c r="A60" s="1" t="s">
        <v>86</v>
      </c>
      <c r="B60" s="1" t="s">
        <v>210</v>
      </c>
      <c r="C60" s="1" t="s">
        <v>88</v>
      </c>
      <c r="D60" s="1">
        <v>28.0</v>
      </c>
      <c r="E60" s="3"/>
      <c r="F60" s="3">
        <f t="shared" si="1"/>
        <v>0</v>
      </c>
      <c r="G60" s="1" t="str">
        <f>+VLOOKUP(B60,'producto terminado'!B:D,3,)</f>
        <v/>
      </c>
      <c r="H60" s="1">
        <f t="shared" si="2"/>
        <v>28</v>
      </c>
      <c r="I60" s="3">
        <f t="shared" si="3"/>
        <v>0</v>
      </c>
    </row>
    <row r="61" ht="14.25" customHeight="1">
      <c r="A61" s="1" t="s">
        <v>86</v>
      </c>
      <c r="B61" s="1" t="s">
        <v>211</v>
      </c>
      <c r="C61" s="1" t="s">
        <v>88</v>
      </c>
      <c r="D61" s="1">
        <v>11.0</v>
      </c>
      <c r="E61" s="3"/>
      <c r="F61" s="3">
        <f t="shared" si="1"/>
        <v>0</v>
      </c>
      <c r="G61" s="1" t="str">
        <f>+VLOOKUP(B61,'producto terminado'!B:D,3,)</f>
        <v/>
      </c>
      <c r="H61" s="1">
        <f t="shared" si="2"/>
        <v>11</v>
      </c>
      <c r="I61" s="3">
        <f t="shared" si="3"/>
        <v>0</v>
      </c>
    </row>
    <row r="62" ht="14.25" customHeight="1">
      <c r="A62" s="1" t="s">
        <v>86</v>
      </c>
      <c r="B62" s="1" t="s">
        <v>212</v>
      </c>
      <c r="C62" s="1" t="s">
        <v>88</v>
      </c>
      <c r="D62" s="1">
        <v>1.0</v>
      </c>
      <c r="E62" s="3"/>
      <c r="F62" s="3">
        <f t="shared" si="1"/>
        <v>0</v>
      </c>
      <c r="G62" s="1" t="str">
        <f>+VLOOKUP(B62,'producto terminado'!B:D,3,)</f>
        <v/>
      </c>
      <c r="H62" s="1">
        <f t="shared" si="2"/>
        <v>1</v>
      </c>
      <c r="I62" s="3">
        <f t="shared" si="3"/>
        <v>0</v>
      </c>
    </row>
    <row r="63" ht="14.25" customHeight="1">
      <c r="A63" s="1" t="s">
        <v>86</v>
      </c>
      <c r="B63" s="1" t="s">
        <v>213</v>
      </c>
      <c r="C63" s="1" t="s">
        <v>88</v>
      </c>
      <c r="D63" s="1">
        <v>1.0</v>
      </c>
      <c r="E63" s="3"/>
      <c r="F63" s="3">
        <f t="shared" si="1"/>
        <v>0</v>
      </c>
      <c r="G63" s="1" t="str">
        <f>+VLOOKUP(B63,'producto terminado'!B:D,3,)</f>
        <v/>
      </c>
      <c r="H63" s="1">
        <f t="shared" si="2"/>
        <v>1</v>
      </c>
      <c r="I63" s="3">
        <f t="shared" si="3"/>
        <v>0</v>
      </c>
    </row>
    <row r="64" ht="14.25" customHeight="1">
      <c r="A64" s="1" t="s">
        <v>25</v>
      </c>
      <c r="B64" s="1" t="s">
        <v>26</v>
      </c>
      <c r="C64" s="1" t="s">
        <v>10</v>
      </c>
      <c r="D64" s="1">
        <v>2.0</v>
      </c>
      <c r="E64" s="3">
        <f>550*150</f>
        <v>82500</v>
      </c>
      <c r="F64" s="3">
        <f t="shared" si="1"/>
        <v>165000</v>
      </c>
      <c r="G64" s="1">
        <f>+VLOOKUP(B64,'producto terminado'!B:D,3,)</f>
        <v>1</v>
      </c>
      <c r="H64" s="1">
        <f t="shared" si="2"/>
        <v>3</v>
      </c>
      <c r="I64" s="3">
        <f t="shared" si="3"/>
        <v>247500</v>
      </c>
    </row>
    <row r="65" ht="14.25" customHeight="1">
      <c r="A65" s="1" t="s">
        <v>25</v>
      </c>
      <c r="B65" s="1" t="s">
        <v>83</v>
      </c>
      <c r="C65" s="1" t="s">
        <v>10</v>
      </c>
      <c r="D65" s="1">
        <v>8.0</v>
      </c>
      <c r="E65" s="3">
        <v>23850.0</v>
      </c>
      <c r="F65" s="3">
        <f t="shared" si="1"/>
        <v>190800</v>
      </c>
      <c r="G65" s="1" t="str">
        <f>+VLOOKUP(B65,'producto terminado'!B:D,3,)</f>
        <v/>
      </c>
      <c r="H65" s="1">
        <f t="shared" si="2"/>
        <v>8</v>
      </c>
      <c r="I65" s="3">
        <f t="shared" si="3"/>
        <v>190800</v>
      </c>
    </row>
    <row r="66" ht="14.25" customHeight="1">
      <c r="A66" s="1" t="s">
        <v>25</v>
      </c>
      <c r="B66" s="1" t="s">
        <v>84</v>
      </c>
      <c r="C66" s="1" t="s">
        <v>13</v>
      </c>
      <c r="D66" s="1">
        <v>8.0</v>
      </c>
      <c r="E66" s="3">
        <v>21080.0</v>
      </c>
      <c r="F66" s="3">
        <f t="shared" si="1"/>
        <v>168640</v>
      </c>
      <c r="G66" s="1" t="str">
        <f>+VLOOKUP(B66,'producto terminado'!B:D,3,)</f>
        <v/>
      </c>
      <c r="H66" s="1">
        <f t="shared" si="2"/>
        <v>8</v>
      </c>
      <c r="I66" s="3">
        <f t="shared" si="3"/>
        <v>168640</v>
      </c>
    </row>
    <row r="67" ht="14.25" customHeight="1">
      <c r="A67" s="1" t="s">
        <v>25</v>
      </c>
      <c r="B67" s="1" t="s">
        <v>89</v>
      </c>
      <c r="C67" s="1" t="s">
        <v>13</v>
      </c>
      <c r="D67" s="1">
        <v>12.0</v>
      </c>
      <c r="E67" s="3">
        <v>16845.0</v>
      </c>
      <c r="F67" s="3">
        <f t="shared" si="1"/>
        <v>202140</v>
      </c>
      <c r="G67" s="1" t="str">
        <f>+VLOOKUP(B67,'producto terminado'!B:D,3,)</f>
        <v/>
      </c>
      <c r="H67" s="1">
        <f t="shared" si="2"/>
        <v>12</v>
      </c>
      <c r="I67" s="3">
        <f t="shared" si="3"/>
        <v>202140</v>
      </c>
    </row>
    <row r="68" ht="14.25" customHeight="1">
      <c r="A68" s="1" t="s">
        <v>25</v>
      </c>
      <c r="B68" s="1" t="s">
        <v>118</v>
      </c>
      <c r="C68" s="1" t="s">
        <v>10</v>
      </c>
      <c r="D68" s="1">
        <v>1.0</v>
      </c>
      <c r="E68" s="3">
        <v>12171.0</v>
      </c>
      <c r="F68" s="3">
        <f t="shared" si="1"/>
        <v>12171</v>
      </c>
      <c r="G68" s="1" t="str">
        <f>+VLOOKUP(B68,'producto terminado'!B:D,3,)</f>
        <v/>
      </c>
      <c r="H68" s="1">
        <f t="shared" si="2"/>
        <v>1</v>
      </c>
      <c r="I68" s="3">
        <f t="shared" si="3"/>
        <v>12171</v>
      </c>
    </row>
    <row r="69" ht="14.25" customHeight="1">
      <c r="A69" s="1" t="s">
        <v>25</v>
      </c>
      <c r="B69" s="1" t="s">
        <v>166</v>
      </c>
      <c r="C69" s="1" t="s">
        <v>10</v>
      </c>
      <c r="D69" s="1">
        <v>1.0</v>
      </c>
      <c r="E69" s="3">
        <v>4500.0</v>
      </c>
      <c r="F69" s="3">
        <f t="shared" si="1"/>
        <v>4500</v>
      </c>
      <c r="G69" s="1" t="str">
        <f>+VLOOKUP(B69,'producto terminado'!B:D,3,)</f>
        <v/>
      </c>
      <c r="H69" s="1">
        <f t="shared" si="2"/>
        <v>1</v>
      </c>
      <c r="I69" s="3">
        <f t="shared" si="3"/>
        <v>4500</v>
      </c>
    </row>
    <row r="70" ht="14.25" customHeight="1">
      <c r="A70" s="1" t="s">
        <v>25</v>
      </c>
      <c r="B70" s="1" t="s">
        <v>187</v>
      </c>
      <c r="C70" s="1" t="s">
        <v>10</v>
      </c>
      <c r="D70" s="1">
        <v>2.0</v>
      </c>
      <c r="E70" s="3">
        <v>2334.0</v>
      </c>
      <c r="F70" s="3">
        <f t="shared" si="1"/>
        <v>4668</v>
      </c>
      <c r="G70" s="1" t="str">
        <f>+VLOOKUP(B70,'producto terminado'!B:D,3,)</f>
        <v/>
      </c>
      <c r="H70" s="1">
        <f t="shared" si="2"/>
        <v>2</v>
      </c>
      <c r="I70" s="3">
        <f t="shared" si="3"/>
        <v>4668</v>
      </c>
    </row>
    <row r="71" ht="14.25" customHeight="1">
      <c r="A71" s="1" t="s">
        <v>25</v>
      </c>
      <c r="B71" s="1" t="s">
        <v>146</v>
      </c>
      <c r="C71" s="1" t="s">
        <v>10</v>
      </c>
      <c r="D71" s="1">
        <v>5.0</v>
      </c>
      <c r="E71" s="3">
        <v>1860.0</v>
      </c>
      <c r="F71" s="3">
        <f t="shared" si="1"/>
        <v>9300</v>
      </c>
      <c r="G71" s="1" t="str">
        <f>+VLOOKUP(B71,'producto terminado'!B:D,3,)</f>
        <v/>
      </c>
      <c r="H71" s="1">
        <f t="shared" si="2"/>
        <v>5</v>
      </c>
      <c r="I71" s="3">
        <f t="shared" si="3"/>
        <v>9300</v>
      </c>
    </row>
    <row r="72" ht="14.25" customHeight="1">
      <c r="A72" s="1" t="s">
        <v>25</v>
      </c>
      <c r="B72" s="1" t="s">
        <v>46</v>
      </c>
      <c r="C72" s="1" t="s">
        <v>10</v>
      </c>
      <c r="D72" s="1">
        <v>6.0</v>
      </c>
      <c r="E72" s="3">
        <v>1154.0</v>
      </c>
      <c r="F72" s="3">
        <f t="shared" si="1"/>
        <v>6924</v>
      </c>
      <c r="G72" s="1">
        <f>+VLOOKUP(B72,'producto terminado'!B:D,3,)</f>
        <v>2.5</v>
      </c>
      <c r="H72" s="1">
        <f t="shared" si="2"/>
        <v>8.5</v>
      </c>
      <c r="I72" s="3">
        <f t="shared" si="3"/>
        <v>9809</v>
      </c>
    </row>
    <row r="73" ht="14.25" customHeight="1">
      <c r="A73" s="1" t="s">
        <v>25</v>
      </c>
      <c r="B73" s="1" t="s">
        <v>75</v>
      </c>
      <c r="C73" s="1" t="s">
        <v>10</v>
      </c>
      <c r="D73" s="1">
        <v>20.0</v>
      </c>
      <c r="E73" s="3">
        <v>325.0</v>
      </c>
      <c r="F73" s="3">
        <f t="shared" si="1"/>
        <v>6500</v>
      </c>
      <c r="G73" s="1">
        <f>+VLOOKUP(B73,'producto terminado'!B:D,3,)</f>
        <v>19</v>
      </c>
      <c r="H73" s="1">
        <f t="shared" si="2"/>
        <v>39</v>
      </c>
      <c r="I73" s="3">
        <f t="shared" si="3"/>
        <v>12675</v>
      </c>
    </row>
    <row r="74" ht="14.25" customHeight="1">
      <c r="A74" s="1" t="s">
        <v>25</v>
      </c>
      <c r="B74" s="1" t="s">
        <v>33</v>
      </c>
      <c r="C74" s="1" t="s">
        <v>10</v>
      </c>
      <c r="D74" s="1">
        <v>40.0</v>
      </c>
      <c r="E74" s="3">
        <v>325.0</v>
      </c>
      <c r="F74" s="3">
        <f t="shared" si="1"/>
        <v>13000</v>
      </c>
      <c r="G74" s="1">
        <f>+VLOOKUP(B74,'producto terminado'!B:D,3,)</f>
        <v>2</v>
      </c>
      <c r="H74" s="1">
        <f t="shared" si="2"/>
        <v>42</v>
      </c>
      <c r="I74" s="3">
        <f t="shared" si="3"/>
        <v>13650</v>
      </c>
    </row>
    <row r="75" ht="14.25" customHeight="1">
      <c r="A75" s="1" t="s">
        <v>25</v>
      </c>
      <c r="B75" s="1" t="s">
        <v>137</v>
      </c>
      <c r="C75" s="1" t="s">
        <v>10</v>
      </c>
      <c r="D75" s="1">
        <v>20.0</v>
      </c>
      <c r="E75" s="3">
        <v>325.0</v>
      </c>
      <c r="F75" s="3">
        <f t="shared" si="1"/>
        <v>6500</v>
      </c>
      <c r="G75" s="1" t="str">
        <f>+VLOOKUP(B75,'producto terminado'!B:D,3,)</f>
        <v/>
      </c>
      <c r="H75" s="1">
        <f t="shared" si="2"/>
        <v>20</v>
      </c>
      <c r="I75" s="3">
        <f t="shared" si="3"/>
        <v>6500</v>
      </c>
    </row>
    <row r="76" ht="14.25" customHeight="1">
      <c r="A76" s="1" t="s">
        <v>25</v>
      </c>
      <c r="B76" s="1" t="s">
        <v>81</v>
      </c>
      <c r="C76" s="1" t="s">
        <v>10</v>
      </c>
      <c r="D76" s="1">
        <v>40.0</v>
      </c>
      <c r="E76" s="3">
        <v>325.0</v>
      </c>
      <c r="F76" s="3">
        <f t="shared" si="1"/>
        <v>13000</v>
      </c>
      <c r="G76" s="1">
        <f>+VLOOKUP(B76,'producto terminado'!B:D,3,)</f>
        <v>43</v>
      </c>
      <c r="H76" s="1">
        <f t="shared" si="2"/>
        <v>83</v>
      </c>
      <c r="I76" s="3">
        <f t="shared" si="3"/>
        <v>26975</v>
      </c>
    </row>
    <row r="77" ht="14.25" customHeight="1">
      <c r="A77" s="1" t="s">
        <v>25</v>
      </c>
      <c r="B77" s="1" t="s">
        <v>122</v>
      </c>
      <c r="C77" s="1" t="s">
        <v>10</v>
      </c>
      <c r="D77" s="1">
        <v>40.0</v>
      </c>
      <c r="E77" s="3">
        <v>325.0</v>
      </c>
      <c r="F77" s="3">
        <f t="shared" si="1"/>
        <v>13000</v>
      </c>
      <c r="G77" s="1" t="str">
        <f>+VLOOKUP(B77,'producto terminado'!B:D,3,)</f>
        <v/>
      </c>
      <c r="H77" s="1">
        <f t="shared" si="2"/>
        <v>40</v>
      </c>
      <c r="I77" s="3">
        <f t="shared" si="3"/>
        <v>13000</v>
      </c>
    </row>
    <row r="78" ht="14.25" customHeight="1">
      <c r="A78" s="1" t="s">
        <v>25</v>
      </c>
      <c r="B78" s="1" t="s">
        <v>94</v>
      </c>
      <c r="C78" s="1" t="s">
        <v>10</v>
      </c>
      <c r="D78" s="1">
        <v>192.0</v>
      </c>
      <c r="E78" s="3">
        <v>281.0</v>
      </c>
      <c r="F78" s="3">
        <f t="shared" si="1"/>
        <v>53952</v>
      </c>
      <c r="G78" s="1" t="str">
        <f>+VLOOKUP(B78,'producto terminado'!B:D,3,)</f>
        <v/>
      </c>
      <c r="H78" s="1">
        <f t="shared" si="2"/>
        <v>192</v>
      </c>
      <c r="I78" s="3">
        <f t="shared" si="3"/>
        <v>53952</v>
      </c>
    </row>
    <row r="79" ht="14.25" customHeight="1">
      <c r="A79" s="1" t="s">
        <v>25</v>
      </c>
      <c r="B79" s="1" t="s">
        <v>245</v>
      </c>
      <c r="C79" s="1" t="s">
        <v>10</v>
      </c>
      <c r="D79" s="1">
        <v>0.0</v>
      </c>
      <c r="E79" s="3"/>
      <c r="F79" s="3">
        <f t="shared" si="1"/>
        <v>0</v>
      </c>
      <c r="G79" s="1" t="str">
        <f>+VLOOKUP(B79,'producto terminado'!B:D,3,)</f>
        <v/>
      </c>
      <c r="H79" s="1">
        <f t="shared" si="2"/>
        <v>0</v>
      </c>
      <c r="I79" s="3">
        <f t="shared" si="3"/>
        <v>0</v>
      </c>
    </row>
    <row r="80" ht="14.25" customHeight="1">
      <c r="A80" s="1" t="s">
        <v>25</v>
      </c>
      <c r="B80" s="1" t="s">
        <v>214</v>
      </c>
      <c r="C80" s="1" t="s">
        <v>13</v>
      </c>
      <c r="D80" s="1">
        <v>0.7</v>
      </c>
      <c r="E80" s="3"/>
      <c r="F80" s="3">
        <f t="shared" si="1"/>
        <v>0</v>
      </c>
      <c r="G80" s="1" t="str">
        <f>+VLOOKUP(B80,'producto terminado'!B:D,3,)</f>
        <v/>
      </c>
      <c r="H80" s="1">
        <f t="shared" si="2"/>
        <v>0.7</v>
      </c>
      <c r="I80" s="3">
        <f t="shared" si="3"/>
        <v>0</v>
      </c>
    </row>
    <row r="81" ht="14.25" customHeight="1">
      <c r="A81" s="1" t="s">
        <v>25</v>
      </c>
      <c r="B81" s="1" t="s">
        <v>82</v>
      </c>
      <c r="C81" s="1" t="s">
        <v>10</v>
      </c>
      <c r="D81" s="1">
        <v>2000.0</v>
      </c>
      <c r="E81" s="3"/>
      <c r="F81" s="3">
        <f t="shared" si="1"/>
        <v>0</v>
      </c>
      <c r="G81" s="1">
        <f>+VLOOKUP(B81,'producto terminado'!B:D,3,)</f>
        <v>770</v>
      </c>
      <c r="H81" s="1">
        <f t="shared" si="2"/>
        <v>2770</v>
      </c>
      <c r="I81" s="3">
        <f t="shared" si="3"/>
        <v>0</v>
      </c>
    </row>
    <row r="82" ht="14.25" customHeight="1">
      <c r="A82" s="1" t="s">
        <v>48</v>
      </c>
      <c r="B82" s="1" t="s">
        <v>145</v>
      </c>
      <c r="C82" s="1" t="s">
        <v>13</v>
      </c>
      <c r="D82" s="1">
        <v>0.4</v>
      </c>
      <c r="E82" s="3">
        <v>25000.0</v>
      </c>
      <c r="F82" s="3">
        <f t="shared" si="1"/>
        <v>10000</v>
      </c>
      <c r="G82" s="1" t="str">
        <f>+VLOOKUP(B82,'producto terminado'!B:D,3,)</f>
        <v/>
      </c>
      <c r="H82" s="1">
        <f t="shared" si="2"/>
        <v>0.4</v>
      </c>
      <c r="I82" s="3">
        <f t="shared" si="3"/>
        <v>10000</v>
      </c>
    </row>
    <row r="83" ht="14.25" customHeight="1">
      <c r="A83" s="1" t="s">
        <v>48</v>
      </c>
      <c r="B83" s="1" t="s">
        <v>106</v>
      </c>
      <c r="C83" s="1" t="s">
        <v>10</v>
      </c>
      <c r="D83" s="1">
        <v>3.0</v>
      </c>
      <c r="E83" s="3">
        <v>9875.0</v>
      </c>
      <c r="F83" s="3">
        <f t="shared" si="1"/>
        <v>29625</v>
      </c>
      <c r="G83" s="1" t="str">
        <f>+VLOOKUP(B83,'producto terminado'!B:D,3,)</f>
        <v/>
      </c>
      <c r="H83" s="1">
        <f t="shared" si="2"/>
        <v>3</v>
      </c>
      <c r="I83" s="3">
        <f t="shared" si="3"/>
        <v>29625</v>
      </c>
    </row>
    <row r="84" ht="14.25" customHeight="1">
      <c r="A84" s="1" t="s">
        <v>48</v>
      </c>
      <c r="B84" s="1" t="s">
        <v>123</v>
      </c>
      <c r="C84" s="1" t="s">
        <v>124</v>
      </c>
      <c r="D84" s="1">
        <v>10.0</v>
      </c>
      <c r="E84" s="3">
        <v>9000.0</v>
      </c>
      <c r="F84" s="3">
        <f t="shared" si="1"/>
        <v>90000</v>
      </c>
      <c r="G84" s="1" t="str">
        <f>+VLOOKUP(B84,'producto terminado'!B:D,3,)</f>
        <v/>
      </c>
      <c r="H84" s="1">
        <f t="shared" si="2"/>
        <v>10</v>
      </c>
      <c r="I84" s="3">
        <f t="shared" si="3"/>
        <v>90000</v>
      </c>
    </row>
    <row r="85" ht="14.25" customHeight="1">
      <c r="A85" s="1" t="s">
        <v>48</v>
      </c>
      <c r="B85" s="1" t="s">
        <v>155</v>
      </c>
      <c r="C85" s="1" t="s">
        <v>10</v>
      </c>
      <c r="D85" s="1">
        <v>1.0</v>
      </c>
      <c r="E85" s="3">
        <v>6950.0</v>
      </c>
      <c r="F85" s="3">
        <f t="shared" si="1"/>
        <v>6950</v>
      </c>
      <c r="G85" s="1" t="str">
        <f>+VLOOKUP(B85,'producto terminado'!B:D,3,)</f>
        <v/>
      </c>
      <c r="H85" s="1">
        <f t="shared" si="2"/>
        <v>1</v>
      </c>
      <c r="I85" s="3">
        <f t="shared" si="3"/>
        <v>6950</v>
      </c>
    </row>
    <row r="86" ht="14.25" customHeight="1">
      <c r="A86" s="1" t="s">
        <v>48</v>
      </c>
      <c r="B86" s="1" t="s">
        <v>175</v>
      </c>
      <c r="C86" s="1" t="s">
        <v>13</v>
      </c>
      <c r="D86" s="1">
        <v>0.0</v>
      </c>
      <c r="E86" s="3">
        <v>6800.0</v>
      </c>
      <c r="F86" s="3">
        <f t="shared" si="1"/>
        <v>0</v>
      </c>
      <c r="G86" s="1" t="str">
        <f>+VLOOKUP(B86,'producto terminado'!B:D,3,)</f>
        <v/>
      </c>
      <c r="H86" s="1">
        <f t="shared" si="2"/>
        <v>0</v>
      </c>
      <c r="I86" s="3">
        <f t="shared" si="3"/>
        <v>0</v>
      </c>
    </row>
    <row r="87" ht="14.25" customHeight="1">
      <c r="A87" s="1" t="s">
        <v>48</v>
      </c>
      <c r="B87" s="1" t="s">
        <v>190</v>
      </c>
      <c r="C87" s="1" t="s">
        <v>13</v>
      </c>
      <c r="D87" s="1">
        <v>0.35</v>
      </c>
      <c r="E87" s="3">
        <v>4500.0</v>
      </c>
      <c r="F87" s="3">
        <f t="shared" si="1"/>
        <v>1575</v>
      </c>
      <c r="G87" s="1" t="str">
        <f>+VLOOKUP(B87,'producto terminado'!B:D,3,)</f>
        <v/>
      </c>
      <c r="H87" s="1">
        <f t="shared" si="2"/>
        <v>0.35</v>
      </c>
      <c r="I87" s="3">
        <f t="shared" si="3"/>
        <v>1575</v>
      </c>
    </row>
    <row r="88" ht="14.25" customHeight="1">
      <c r="A88" s="1" t="s">
        <v>48</v>
      </c>
      <c r="B88" s="1" t="s">
        <v>165</v>
      </c>
      <c r="C88" s="1" t="s">
        <v>10</v>
      </c>
      <c r="D88" s="1">
        <v>2.0</v>
      </c>
      <c r="E88" s="3">
        <v>2280.0</v>
      </c>
      <c r="F88" s="3">
        <f t="shared" si="1"/>
        <v>4560</v>
      </c>
      <c r="G88" s="1" t="str">
        <f>+VLOOKUP(B88,'producto terminado'!B:D,3,)</f>
        <v/>
      </c>
      <c r="H88" s="1">
        <f t="shared" si="2"/>
        <v>2</v>
      </c>
      <c r="I88" s="3">
        <f t="shared" si="3"/>
        <v>4560</v>
      </c>
    </row>
    <row r="89" ht="14.25" customHeight="1">
      <c r="A89" s="1" t="s">
        <v>48</v>
      </c>
      <c r="B89" s="1" t="s">
        <v>176</v>
      </c>
      <c r="C89" s="1" t="s">
        <v>10</v>
      </c>
      <c r="D89" s="1">
        <v>1.0</v>
      </c>
      <c r="E89" s="3">
        <v>1610.0</v>
      </c>
      <c r="F89" s="3">
        <f t="shared" si="1"/>
        <v>1610</v>
      </c>
      <c r="G89" s="1" t="str">
        <f>+VLOOKUP(B89,'producto terminado'!B:D,3,)</f>
        <v/>
      </c>
      <c r="H89" s="1">
        <f t="shared" si="2"/>
        <v>1</v>
      </c>
      <c r="I89" s="3">
        <f t="shared" si="3"/>
        <v>1610</v>
      </c>
    </row>
    <row r="90" ht="14.25" customHeight="1">
      <c r="A90" s="1" t="s">
        <v>48</v>
      </c>
      <c r="B90" s="1" t="s">
        <v>49</v>
      </c>
      <c r="C90" s="1" t="s">
        <v>10</v>
      </c>
      <c r="D90" s="1">
        <v>11.0</v>
      </c>
      <c r="E90" s="3">
        <v>495.0</v>
      </c>
      <c r="F90" s="3">
        <f t="shared" si="1"/>
        <v>5445</v>
      </c>
      <c r="G90" s="1">
        <f>+VLOOKUP(B90,'producto terminado'!B:D,3,)</f>
        <v>3.5</v>
      </c>
      <c r="H90" s="1">
        <f t="shared" si="2"/>
        <v>14.5</v>
      </c>
      <c r="I90" s="3">
        <f t="shared" si="3"/>
        <v>7177.5</v>
      </c>
    </row>
    <row r="91" ht="14.25" customHeight="1">
      <c r="A91" s="1" t="s">
        <v>48</v>
      </c>
      <c r="B91" s="1" t="s">
        <v>196</v>
      </c>
      <c r="C91" s="1" t="s">
        <v>10</v>
      </c>
      <c r="D91" s="1">
        <v>8.0</v>
      </c>
      <c r="E91" s="3">
        <v>200.0</v>
      </c>
      <c r="F91" s="3">
        <f t="shared" si="1"/>
        <v>1600</v>
      </c>
      <c r="G91" s="1" t="str">
        <f>+VLOOKUP(B91,'producto terminado'!B:D,3,)</f>
        <v/>
      </c>
      <c r="H91" s="1">
        <f t="shared" si="2"/>
        <v>8</v>
      </c>
      <c r="I91" s="3">
        <f t="shared" si="3"/>
        <v>1600</v>
      </c>
    </row>
    <row r="92" ht="14.25" customHeight="1">
      <c r="A92" s="1" t="s">
        <v>48</v>
      </c>
      <c r="B92" s="1" t="s">
        <v>215</v>
      </c>
      <c r="C92" s="1" t="s">
        <v>13</v>
      </c>
      <c r="D92" s="1">
        <v>0.0</v>
      </c>
      <c r="E92" s="3"/>
      <c r="F92" s="3">
        <f t="shared" si="1"/>
        <v>0</v>
      </c>
      <c r="G92" s="1" t="str">
        <f>+VLOOKUP(B92,'producto terminado'!B:D,3,)</f>
        <v/>
      </c>
      <c r="H92" s="1">
        <f t="shared" si="2"/>
        <v>0</v>
      </c>
      <c r="I92" s="3">
        <f t="shared" si="3"/>
        <v>0</v>
      </c>
    </row>
    <row r="93" ht="14.25" customHeight="1">
      <c r="A93" s="1" t="s">
        <v>48</v>
      </c>
      <c r="B93" s="1" t="s">
        <v>216</v>
      </c>
      <c r="C93" s="1" t="s">
        <v>13</v>
      </c>
      <c r="D93" s="1">
        <v>1.84</v>
      </c>
      <c r="E93" s="3"/>
      <c r="F93" s="3">
        <f t="shared" si="1"/>
        <v>0</v>
      </c>
      <c r="G93" s="1" t="str">
        <f>+VLOOKUP(B93,'producto terminado'!B:D,3,)</f>
        <v/>
      </c>
      <c r="H93" s="1">
        <f t="shared" si="2"/>
        <v>1.84</v>
      </c>
      <c r="I93" s="3">
        <f t="shared" si="3"/>
        <v>0</v>
      </c>
    </row>
    <row r="94" ht="14.25" customHeight="1">
      <c r="A94" s="1" t="s">
        <v>48</v>
      </c>
      <c r="B94" s="1" t="s">
        <v>217</v>
      </c>
      <c r="C94" s="1" t="s">
        <v>13</v>
      </c>
      <c r="D94" s="1">
        <v>0.16</v>
      </c>
      <c r="E94" s="3"/>
      <c r="F94" s="3">
        <f t="shared" si="1"/>
        <v>0</v>
      </c>
      <c r="G94" s="1" t="str">
        <f>+VLOOKUP(B94,'producto terminado'!B:D,3,)</f>
        <v/>
      </c>
      <c r="H94" s="1">
        <f t="shared" si="2"/>
        <v>0.16</v>
      </c>
      <c r="I94" s="3">
        <f t="shared" si="3"/>
        <v>0</v>
      </c>
    </row>
    <row r="95" ht="14.25" customHeight="1">
      <c r="A95" s="1" t="s">
        <v>48</v>
      </c>
      <c r="B95" s="1" t="s">
        <v>218</v>
      </c>
      <c r="C95" s="1" t="s">
        <v>13</v>
      </c>
      <c r="D95" s="1">
        <v>0.0</v>
      </c>
      <c r="E95" s="3"/>
      <c r="F95" s="3">
        <f t="shared" si="1"/>
        <v>0</v>
      </c>
      <c r="G95" s="1" t="str">
        <f>+VLOOKUP(B95,'producto terminado'!B:D,3,)</f>
        <v/>
      </c>
      <c r="H95" s="1">
        <f t="shared" si="2"/>
        <v>0</v>
      </c>
      <c r="I95" s="3">
        <f t="shared" si="3"/>
        <v>0</v>
      </c>
    </row>
    <row r="96" ht="14.25" customHeight="1">
      <c r="A96" s="1" t="s">
        <v>48</v>
      </c>
      <c r="B96" s="1" t="s">
        <v>219</v>
      </c>
      <c r="C96" s="1" t="s">
        <v>13</v>
      </c>
      <c r="D96" s="1">
        <v>1.1</v>
      </c>
      <c r="E96" s="3"/>
      <c r="F96" s="3">
        <f t="shared" si="1"/>
        <v>0</v>
      </c>
      <c r="G96" s="1" t="str">
        <f>+VLOOKUP(B96,'producto terminado'!B:D,3,)</f>
        <v/>
      </c>
      <c r="H96" s="1">
        <f t="shared" si="2"/>
        <v>1.1</v>
      </c>
      <c r="I96" s="3">
        <f t="shared" si="3"/>
        <v>0</v>
      </c>
    </row>
    <row r="97" ht="14.25" customHeight="1">
      <c r="A97" s="1" t="s">
        <v>48</v>
      </c>
      <c r="B97" s="1" t="s">
        <v>220</v>
      </c>
      <c r="C97" s="1" t="s">
        <v>13</v>
      </c>
      <c r="D97" s="1">
        <v>0.3</v>
      </c>
      <c r="E97" s="3"/>
      <c r="F97" s="3">
        <f t="shared" si="1"/>
        <v>0</v>
      </c>
      <c r="G97" s="1" t="str">
        <f>+VLOOKUP(B97,'producto terminado'!B:D,3,)</f>
        <v/>
      </c>
      <c r="H97" s="1">
        <f t="shared" si="2"/>
        <v>0.3</v>
      </c>
      <c r="I97" s="3">
        <f t="shared" si="3"/>
        <v>0</v>
      </c>
    </row>
    <row r="98" ht="14.25" customHeight="1">
      <c r="A98" s="1" t="s">
        <v>48</v>
      </c>
      <c r="B98" s="1" t="s">
        <v>221</v>
      </c>
      <c r="C98" s="1" t="s">
        <v>13</v>
      </c>
      <c r="D98" s="1">
        <v>1.0</v>
      </c>
      <c r="E98" s="3"/>
      <c r="F98" s="3">
        <f t="shared" si="1"/>
        <v>0</v>
      </c>
      <c r="G98" s="1" t="str">
        <f>+VLOOKUP(B98,'producto terminado'!B:D,3,)</f>
        <v/>
      </c>
      <c r="H98" s="1">
        <f t="shared" si="2"/>
        <v>1</v>
      </c>
      <c r="I98" s="3">
        <f t="shared" si="3"/>
        <v>0</v>
      </c>
    </row>
    <row r="99" ht="14.25" customHeight="1">
      <c r="A99" s="1" t="s">
        <v>48</v>
      </c>
      <c r="B99" s="1" t="s">
        <v>222</v>
      </c>
      <c r="C99" s="1" t="s">
        <v>13</v>
      </c>
      <c r="D99" s="1">
        <v>1.0</v>
      </c>
      <c r="E99" s="3"/>
      <c r="F99" s="3">
        <f t="shared" si="1"/>
        <v>0</v>
      </c>
      <c r="G99" s="1" t="str">
        <f>+VLOOKUP(B99,'producto terminado'!B:D,3,)</f>
        <v/>
      </c>
      <c r="H99" s="1">
        <f t="shared" si="2"/>
        <v>1</v>
      </c>
      <c r="I99" s="3">
        <f t="shared" si="3"/>
        <v>0</v>
      </c>
    </row>
    <row r="100" ht="14.25" customHeight="1">
      <c r="A100" s="1" t="s">
        <v>48</v>
      </c>
      <c r="B100" s="1" t="s">
        <v>223</v>
      </c>
      <c r="C100" s="1" t="s">
        <v>10</v>
      </c>
      <c r="D100" s="1">
        <v>1.2</v>
      </c>
      <c r="E100" s="3"/>
      <c r="F100" s="3">
        <f t="shared" si="1"/>
        <v>0</v>
      </c>
      <c r="G100" s="1" t="str">
        <f>+VLOOKUP(B100,'producto terminado'!B:D,3,)</f>
        <v/>
      </c>
      <c r="H100" s="1">
        <f t="shared" si="2"/>
        <v>1.2</v>
      </c>
      <c r="I100" s="3">
        <f t="shared" si="3"/>
        <v>0</v>
      </c>
    </row>
    <row r="101" ht="14.25" customHeight="1">
      <c r="A101" s="1" t="s">
        <v>48</v>
      </c>
      <c r="B101" s="1" t="s">
        <v>224</v>
      </c>
      <c r="C101" s="1" t="s">
        <v>13</v>
      </c>
      <c r="D101" s="1">
        <v>2.0</v>
      </c>
      <c r="E101" s="3"/>
      <c r="F101" s="3">
        <f t="shared" si="1"/>
        <v>0</v>
      </c>
      <c r="G101" s="1" t="str">
        <f>+VLOOKUP(B101,'producto terminado'!B:D,3,)</f>
        <v/>
      </c>
      <c r="H101" s="1">
        <f t="shared" si="2"/>
        <v>2</v>
      </c>
      <c r="I101" s="3">
        <f t="shared" si="3"/>
        <v>0</v>
      </c>
    </row>
    <row r="102" ht="14.25" customHeight="1">
      <c r="A102" s="1" t="s">
        <v>30</v>
      </c>
      <c r="B102" s="1" t="s">
        <v>62</v>
      </c>
      <c r="C102" s="1" t="s">
        <v>13</v>
      </c>
      <c r="D102" s="1">
        <v>5.0</v>
      </c>
      <c r="E102" s="3">
        <v>6500.0</v>
      </c>
      <c r="F102" s="3">
        <f t="shared" si="1"/>
        <v>32500</v>
      </c>
      <c r="G102" s="1">
        <f>+VLOOKUP(B102,'producto terminado'!B:D,3,)</f>
        <v>6</v>
      </c>
      <c r="H102" s="1">
        <f t="shared" si="2"/>
        <v>11</v>
      </c>
      <c r="I102" s="3">
        <f t="shared" si="3"/>
        <v>71500</v>
      </c>
    </row>
    <row r="103" ht="14.25" customHeight="1">
      <c r="A103" s="1" t="s">
        <v>30</v>
      </c>
      <c r="B103" s="1" t="s">
        <v>52</v>
      </c>
      <c r="C103" s="1" t="s">
        <v>13</v>
      </c>
      <c r="D103" s="1">
        <v>7.0</v>
      </c>
      <c r="E103" s="3">
        <v>5800.0</v>
      </c>
      <c r="F103" s="3">
        <f t="shared" si="1"/>
        <v>40600</v>
      </c>
      <c r="G103" s="1">
        <f>+VLOOKUP(B103,'producto terminado'!B:D,3,)</f>
        <v>4</v>
      </c>
      <c r="H103" s="1">
        <f t="shared" si="2"/>
        <v>11</v>
      </c>
      <c r="I103" s="3">
        <f t="shared" si="3"/>
        <v>63800</v>
      </c>
    </row>
    <row r="104" ht="14.25" customHeight="1">
      <c r="A104" s="1" t="s">
        <v>30</v>
      </c>
      <c r="B104" s="1" t="s">
        <v>63</v>
      </c>
      <c r="C104" s="1" t="s">
        <v>13</v>
      </c>
      <c r="D104" s="1">
        <v>7.0</v>
      </c>
      <c r="E104" s="3">
        <v>4800.0</v>
      </c>
      <c r="F104" s="3">
        <f t="shared" si="1"/>
        <v>33600</v>
      </c>
      <c r="G104" s="1">
        <f>+VLOOKUP(B104,'producto terminado'!B:D,3,)</f>
        <v>6</v>
      </c>
      <c r="H104" s="1">
        <f t="shared" si="2"/>
        <v>13</v>
      </c>
      <c r="I104" s="3">
        <f t="shared" si="3"/>
        <v>62400</v>
      </c>
    </row>
    <row r="105" ht="14.25" customHeight="1">
      <c r="A105" s="1" t="s">
        <v>30</v>
      </c>
      <c r="B105" s="1" t="s">
        <v>121</v>
      </c>
      <c r="C105" s="1" t="s">
        <v>10</v>
      </c>
      <c r="D105" s="1">
        <v>2.0</v>
      </c>
      <c r="E105" s="3">
        <v>4060.0</v>
      </c>
      <c r="F105" s="3">
        <f t="shared" si="1"/>
        <v>8120</v>
      </c>
      <c r="G105" s="1" t="str">
        <f>+VLOOKUP(B105,'producto terminado'!B:D,3,)</f>
        <v/>
      </c>
      <c r="H105" s="1">
        <f t="shared" si="2"/>
        <v>2</v>
      </c>
      <c r="I105" s="3">
        <f t="shared" si="3"/>
        <v>8120</v>
      </c>
    </row>
    <row r="106" ht="14.25" customHeight="1">
      <c r="A106" s="1" t="s">
        <v>30</v>
      </c>
      <c r="B106" s="1" t="s">
        <v>101</v>
      </c>
      <c r="C106" s="1" t="s">
        <v>13</v>
      </c>
      <c r="D106" s="1">
        <v>10.0</v>
      </c>
      <c r="E106" s="3">
        <v>3900.0</v>
      </c>
      <c r="F106" s="3">
        <f t="shared" si="1"/>
        <v>39000</v>
      </c>
      <c r="G106" s="1" t="str">
        <f>+VLOOKUP(B106,'producto terminado'!B:D,3,)</f>
        <v/>
      </c>
      <c r="H106" s="1">
        <f t="shared" si="2"/>
        <v>10</v>
      </c>
      <c r="I106" s="3">
        <f t="shared" si="3"/>
        <v>39000</v>
      </c>
    </row>
    <row r="107" ht="14.25" customHeight="1">
      <c r="A107" s="1" t="s">
        <v>30</v>
      </c>
      <c r="B107" s="1" t="s">
        <v>103</v>
      </c>
      <c r="C107" s="1" t="s">
        <v>13</v>
      </c>
      <c r="D107" s="1">
        <v>16.0</v>
      </c>
      <c r="E107" s="3">
        <v>2880.0</v>
      </c>
      <c r="F107" s="3">
        <f t="shared" si="1"/>
        <v>46080</v>
      </c>
      <c r="G107" s="1" t="str">
        <f>+VLOOKUP(B107,'producto terminado'!B:D,3,)</f>
        <v/>
      </c>
      <c r="H107" s="1">
        <f t="shared" si="2"/>
        <v>16</v>
      </c>
      <c r="I107" s="3">
        <f t="shared" si="3"/>
        <v>46080</v>
      </c>
    </row>
    <row r="108" ht="14.25" customHeight="1">
      <c r="A108" s="1" t="s">
        <v>30</v>
      </c>
      <c r="B108" s="1" t="s">
        <v>119</v>
      </c>
      <c r="C108" s="1" t="s">
        <v>13</v>
      </c>
      <c r="D108" s="1">
        <v>2.0</v>
      </c>
      <c r="E108" s="3">
        <v>2800.0</v>
      </c>
      <c r="F108" s="3">
        <f t="shared" si="1"/>
        <v>5600</v>
      </c>
      <c r="G108" s="1" t="str">
        <f>+VLOOKUP(B108,'producto terminado'!B:D,3,)</f>
        <v/>
      </c>
      <c r="H108" s="1">
        <f t="shared" si="2"/>
        <v>2</v>
      </c>
      <c r="I108" s="3">
        <f t="shared" si="3"/>
        <v>5600</v>
      </c>
    </row>
    <row r="109" ht="14.25" customHeight="1">
      <c r="A109" s="1" t="s">
        <v>30</v>
      </c>
      <c r="B109" s="1" t="s">
        <v>31</v>
      </c>
      <c r="C109" s="1" t="s">
        <v>13</v>
      </c>
      <c r="D109" s="1">
        <v>12.0</v>
      </c>
      <c r="E109" s="3">
        <v>2700.0</v>
      </c>
      <c r="F109" s="3">
        <f t="shared" si="1"/>
        <v>32400</v>
      </c>
      <c r="G109" s="1">
        <f>+VLOOKUP(B109,'producto terminado'!B:D,3,)</f>
        <v>2</v>
      </c>
      <c r="H109" s="1">
        <f t="shared" si="2"/>
        <v>14</v>
      </c>
      <c r="I109" s="3">
        <f t="shared" si="3"/>
        <v>37800</v>
      </c>
    </row>
    <row r="110" ht="14.25" customHeight="1">
      <c r="A110" s="1" t="s">
        <v>30</v>
      </c>
      <c r="B110" s="1" t="s">
        <v>246</v>
      </c>
      <c r="C110" s="1" t="s">
        <v>13</v>
      </c>
      <c r="D110" s="1">
        <v>5.0</v>
      </c>
      <c r="E110" s="3">
        <v>3050.0</v>
      </c>
      <c r="F110" s="3">
        <f t="shared" si="1"/>
        <v>15250</v>
      </c>
      <c r="G110" s="1">
        <v>0.0</v>
      </c>
      <c r="H110" s="1">
        <f t="shared" si="2"/>
        <v>5</v>
      </c>
      <c r="I110" s="3">
        <f t="shared" si="3"/>
        <v>15250</v>
      </c>
    </row>
    <row r="111" ht="14.25" customHeight="1">
      <c r="A111" s="1" t="s">
        <v>30</v>
      </c>
      <c r="B111" s="1" t="s">
        <v>133</v>
      </c>
      <c r="C111" s="1" t="s">
        <v>13</v>
      </c>
      <c r="D111" s="1">
        <v>2.0</v>
      </c>
      <c r="E111" s="3">
        <v>2520.0</v>
      </c>
      <c r="F111" s="3">
        <f t="shared" si="1"/>
        <v>5040</v>
      </c>
      <c r="G111" s="1" t="str">
        <f>+VLOOKUP(B111,'producto terminado'!B:D,3,)</f>
        <v/>
      </c>
      <c r="H111" s="1">
        <f t="shared" si="2"/>
        <v>2</v>
      </c>
      <c r="I111" s="3">
        <f t="shared" si="3"/>
        <v>5040</v>
      </c>
    </row>
    <row r="112" ht="14.25" customHeight="1">
      <c r="A112" s="1" t="s">
        <v>34</v>
      </c>
      <c r="B112" s="1" t="s">
        <v>9</v>
      </c>
      <c r="C112" s="1" t="s">
        <v>13</v>
      </c>
      <c r="D112" s="1">
        <v>1.0</v>
      </c>
      <c r="E112" s="3">
        <v>3800.0</v>
      </c>
      <c r="F112" s="3">
        <f t="shared" si="1"/>
        <v>3800</v>
      </c>
      <c r="G112" s="1">
        <f>+VLOOKUP(B112,'producto terminado'!B:D,3,)</f>
        <v>0.25</v>
      </c>
      <c r="H112" s="1">
        <f t="shared" si="2"/>
        <v>1.25</v>
      </c>
      <c r="I112" s="3">
        <f t="shared" si="3"/>
        <v>4750</v>
      </c>
    </row>
    <row r="113" ht="14.25" customHeight="1">
      <c r="A113" s="1" t="s">
        <v>34</v>
      </c>
      <c r="B113" s="1" t="s">
        <v>35</v>
      </c>
      <c r="C113" s="1" t="s">
        <v>10</v>
      </c>
      <c r="D113" s="1">
        <v>0.0</v>
      </c>
      <c r="E113" s="3">
        <v>3500.0</v>
      </c>
      <c r="F113" s="3">
        <f t="shared" si="1"/>
        <v>0</v>
      </c>
      <c r="G113" s="1">
        <f>+VLOOKUP(B113,'producto terminado'!B:D,3,)</f>
        <v>2</v>
      </c>
      <c r="H113" s="1">
        <f t="shared" si="2"/>
        <v>2</v>
      </c>
      <c r="I113" s="3">
        <f t="shared" si="3"/>
        <v>7000</v>
      </c>
    </row>
    <row r="114" ht="14.25" customHeight="1">
      <c r="A114" s="1" t="s">
        <v>34</v>
      </c>
      <c r="B114" s="1" t="s">
        <v>172</v>
      </c>
      <c r="C114" s="1" t="s">
        <v>13</v>
      </c>
      <c r="D114" s="1">
        <v>2.5</v>
      </c>
      <c r="E114" s="3">
        <v>2500.0</v>
      </c>
      <c r="F114" s="3">
        <f t="shared" si="1"/>
        <v>6250</v>
      </c>
      <c r="G114" s="1" t="str">
        <f>+VLOOKUP(B114,'producto terminado'!B:D,3,)</f>
        <v/>
      </c>
      <c r="H114" s="1">
        <f t="shared" si="2"/>
        <v>2.5</v>
      </c>
      <c r="I114" s="3">
        <f t="shared" si="3"/>
        <v>6250</v>
      </c>
    </row>
    <row r="115" ht="14.25" customHeight="1">
      <c r="A115" s="1" t="s">
        <v>34</v>
      </c>
      <c r="B115" s="1" t="s">
        <v>154</v>
      </c>
      <c r="C115" s="1" t="s">
        <v>13</v>
      </c>
      <c r="D115" s="1">
        <v>3.4</v>
      </c>
      <c r="E115" s="3">
        <v>1800.0</v>
      </c>
      <c r="F115" s="3">
        <f t="shared" si="1"/>
        <v>6120</v>
      </c>
      <c r="G115" s="1" t="str">
        <f>+VLOOKUP(B115,'producto terminado'!B:D,3,)</f>
        <v/>
      </c>
      <c r="H115" s="1">
        <f t="shared" si="2"/>
        <v>3.4</v>
      </c>
      <c r="I115" s="3">
        <f t="shared" si="3"/>
        <v>6120</v>
      </c>
    </row>
    <row r="116" ht="14.25" customHeight="1">
      <c r="A116" s="1" t="s">
        <v>34</v>
      </c>
      <c r="B116" s="1" t="s">
        <v>156</v>
      </c>
      <c r="C116" s="1" t="s">
        <v>13</v>
      </c>
      <c r="D116" s="1">
        <v>8.6</v>
      </c>
      <c r="E116" s="3">
        <v>1690.0</v>
      </c>
      <c r="F116" s="3">
        <f t="shared" si="1"/>
        <v>14534</v>
      </c>
      <c r="G116" s="1" t="str">
        <f>+VLOOKUP(B116,'producto terminado'!B:D,3,)</f>
        <v/>
      </c>
      <c r="H116" s="1">
        <f t="shared" si="2"/>
        <v>8.6</v>
      </c>
      <c r="I116" s="3">
        <f t="shared" si="3"/>
        <v>14534</v>
      </c>
    </row>
    <row r="117" ht="14.25" customHeight="1">
      <c r="A117" s="1" t="s">
        <v>34</v>
      </c>
      <c r="B117" s="1" t="s">
        <v>183</v>
      </c>
      <c r="C117" s="1" t="s">
        <v>13</v>
      </c>
      <c r="D117" s="1">
        <v>2.5</v>
      </c>
      <c r="E117" s="3">
        <v>1300.0</v>
      </c>
      <c r="F117" s="3">
        <f t="shared" si="1"/>
        <v>3250</v>
      </c>
      <c r="G117" s="1" t="str">
        <f>+VLOOKUP(B117,'producto terminado'!B:D,3,)</f>
        <v/>
      </c>
      <c r="H117" s="1">
        <f t="shared" si="2"/>
        <v>2.5</v>
      </c>
      <c r="I117" s="3">
        <f t="shared" si="3"/>
        <v>3250</v>
      </c>
    </row>
    <row r="118" ht="14.25" customHeight="1">
      <c r="A118" s="1" t="s">
        <v>34</v>
      </c>
      <c r="B118" s="1" t="s">
        <v>225</v>
      </c>
      <c r="C118" s="1" t="s">
        <v>13</v>
      </c>
      <c r="D118" s="1">
        <v>7.0</v>
      </c>
      <c r="E118" s="3"/>
      <c r="F118" s="3">
        <f t="shared" si="1"/>
        <v>0</v>
      </c>
      <c r="G118" s="1" t="str">
        <f>+VLOOKUP(B118,'producto terminado'!B:D,3,)</f>
        <v/>
      </c>
      <c r="H118" s="1">
        <f t="shared" si="2"/>
        <v>7</v>
      </c>
      <c r="I118" s="3">
        <f t="shared" si="3"/>
        <v>0</v>
      </c>
    </row>
    <row r="119" ht="14.25" customHeight="1">
      <c r="A119" s="1" t="s">
        <v>96</v>
      </c>
      <c r="B119" s="1" t="s">
        <v>97</v>
      </c>
      <c r="C119" s="1" t="s">
        <v>13</v>
      </c>
      <c r="D119" s="1">
        <v>5.0</v>
      </c>
      <c r="E119" s="3">
        <v>20500.0</v>
      </c>
      <c r="F119" s="3">
        <f t="shared" si="1"/>
        <v>102500</v>
      </c>
      <c r="G119" s="1" t="str">
        <f>+VLOOKUP(B119,'producto terminado'!B:D,3,)</f>
        <v/>
      </c>
      <c r="H119" s="1">
        <f t="shared" si="2"/>
        <v>5</v>
      </c>
      <c r="I119" s="3">
        <f t="shared" si="3"/>
        <v>102500</v>
      </c>
    </row>
    <row r="120" ht="14.25" customHeight="1">
      <c r="A120" s="1" t="s">
        <v>96</v>
      </c>
      <c r="B120" s="1" t="s">
        <v>226</v>
      </c>
      <c r="C120" s="1" t="s">
        <v>13</v>
      </c>
      <c r="D120" s="1">
        <v>0.0</v>
      </c>
      <c r="E120" s="3"/>
      <c r="F120" s="3">
        <f t="shared" si="1"/>
        <v>0</v>
      </c>
      <c r="G120" s="1" t="str">
        <f>+VLOOKUP(B120,'producto terminado'!B:D,3,)</f>
        <v/>
      </c>
      <c r="H120" s="1">
        <f t="shared" si="2"/>
        <v>0</v>
      </c>
      <c r="I120" s="3">
        <f t="shared" si="3"/>
        <v>0</v>
      </c>
    </row>
    <row r="121" ht="14.25" customHeight="1">
      <c r="A121" s="1" t="s">
        <v>96</v>
      </c>
      <c r="B121" s="1" t="s">
        <v>228</v>
      </c>
      <c r="C121" s="1" t="s">
        <v>13</v>
      </c>
      <c r="D121" s="1">
        <v>4.0</v>
      </c>
      <c r="E121" s="3"/>
      <c r="F121" s="3">
        <f t="shared" si="1"/>
        <v>0</v>
      </c>
      <c r="G121" s="1" t="str">
        <f>+VLOOKUP(B121,'producto terminado'!B:D,3,)</f>
        <v/>
      </c>
      <c r="H121" s="1">
        <f t="shared" si="2"/>
        <v>4</v>
      </c>
      <c r="I121" s="3">
        <f t="shared" si="3"/>
        <v>0</v>
      </c>
    </row>
    <row r="122" ht="14.25" customHeight="1">
      <c r="A122" s="1" t="s">
        <v>8</v>
      </c>
      <c r="B122" s="1" t="s">
        <v>23</v>
      </c>
      <c r="C122" s="1" t="s">
        <v>10</v>
      </c>
      <c r="D122" s="1">
        <v>0.0</v>
      </c>
      <c r="E122" s="3">
        <v>23900.0</v>
      </c>
      <c r="F122" s="3">
        <f t="shared" si="1"/>
        <v>0</v>
      </c>
      <c r="G122" s="1">
        <f>+VLOOKUP(B122,'producto terminado'!B:D,3,)</f>
        <v>0.9</v>
      </c>
      <c r="H122" s="1">
        <f t="shared" si="2"/>
        <v>0.9</v>
      </c>
      <c r="I122" s="3">
        <f t="shared" si="3"/>
        <v>21510</v>
      </c>
    </row>
    <row r="123" ht="14.25" customHeight="1">
      <c r="A123" s="1" t="s">
        <v>8</v>
      </c>
      <c r="B123" s="1" t="s">
        <v>27</v>
      </c>
      <c r="C123" s="1" t="s">
        <v>10</v>
      </c>
      <c r="D123" s="1">
        <v>0.0</v>
      </c>
      <c r="E123" s="3">
        <v>21900.0</v>
      </c>
      <c r="F123" s="3">
        <f t="shared" si="1"/>
        <v>0</v>
      </c>
      <c r="G123" s="1">
        <f>+VLOOKUP(B123,'producto terminado'!B:D,3,)</f>
        <v>1.2</v>
      </c>
      <c r="H123" s="1">
        <f t="shared" si="2"/>
        <v>1.2</v>
      </c>
      <c r="I123" s="3">
        <f t="shared" si="3"/>
        <v>26280</v>
      </c>
    </row>
    <row r="124" ht="14.25" customHeight="1">
      <c r="A124" s="1" t="s">
        <v>8</v>
      </c>
      <c r="B124" s="1" t="s">
        <v>16</v>
      </c>
      <c r="C124" s="1" t="s">
        <v>10</v>
      </c>
      <c r="D124" s="1">
        <v>0.0</v>
      </c>
      <c r="E124" s="3">
        <v>21900.0</v>
      </c>
      <c r="F124" s="3">
        <f t="shared" si="1"/>
        <v>0</v>
      </c>
      <c r="G124" s="1">
        <f>+VLOOKUP(B124,'producto terminado'!B:D,3,)</f>
        <v>0.5</v>
      </c>
      <c r="H124" s="1">
        <f t="shared" si="2"/>
        <v>0.5</v>
      </c>
      <c r="I124" s="3">
        <f t="shared" si="3"/>
        <v>10950</v>
      </c>
    </row>
    <row r="125" ht="14.25" customHeight="1">
      <c r="A125" s="1" t="s">
        <v>8</v>
      </c>
      <c r="B125" s="1" t="s">
        <v>9</v>
      </c>
      <c r="C125" s="1" t="s">
        <v>10</v>
      </c>
      <c r="D125" s="1">
        <v>0.0</v>
      </c>
      <c r="E125" s="3">
        <v>21900.0</v>
      </c>
      <c r="F125" s="3">
        <f t="shared" si="1"/>
        <v>0</v>
      </c>
      <c r="G125" s="1">
        <f>+VLOOKUP(B125,'producto terminado'!B:D,3,)</f>
        <v>0.25</v>
      </c>
      <c r="H125" s="1">
        <f t="shared" si="2"/>
        <v>0.25</v>
      </c>
      <c r="I125" s="3">
        <f t="shared" si="3"/>
        <v>5475</v>
      </c>
    </row>
    <row r="126" ht="14.25" customHeight="1">
      <c r="A126" s="1" t="s">
        <v>65</v>
      </c>
      <c r="B126" s="1" t="s">
        <v>66</v>
      </c>
      <c r="C126" s="1" t="s">
        <v>13</v>
      </c>
      <c r="D126" s="1">
        <v>0.0</v>
      </c>
      <c r="E126" s="3">
        <v>8500.0</v>
      </c>
      <c r="F126" s="3">
        <f t="shared" si="1"/>
        <v>0</v>
      </c>
      <c r="G126" s="1">
        <f>+VLOOKUP(B126,'producto terminado'!B:D,3,)</f>
        <v>7</v>
      </c>
      <c r="H126" s="1">
        <f t="shared" si="2"/>
        <v>7</v>
      </c>
      <c r="I126" s="3">
        <f t="shared" si="3"/>
        <v>59500</v>
      </c>
    </row>
    <row r="127" ht="14.25" customHeight="1">
      <c r="A127" s="1" t="s">
        <v>36</v>
      </c>
      <c r="B127" s="1" t="s">
        <v>107</v>
      </c>
      <c r="C127" s="1" t="s">
        <v>10</v>
      </c>
      <c r="D127" s="1">
        <v>1.0</v>
      </c>
      <c r="E127" s="3">
        <v>39000.0</v>
      </c>
      <c r="F127" s="3">
        <f t="shared" si="1"/>
        <v>39000</v>
      </c>
      <c r="G127" s="1" t="str">
        <f>+VLOOKUP(B127,'producto terminado'!B:D,3,)</f>
        <v/>
      </c>
      <c r="H127" s="1">
        <f t="shared" si="2"/>
        <v>1</v>
      </c>
      <c r="I127" s="3">
        <f t="shared" si="3"/>
        <v>39000</v>
      </c>
    </row>
    <row r="128" ht="14.25" customHeight="1">
      <c r="A128" s="1" t="s">
        <v>36</v>
      </c>
      <c r="B128" s="1" t="s">
        <v>149</v>
      </c>
      <c r="C128" s="1" t="s">
        <v>10</v>
      </c>
      <c r="D128" s="1">
        <v>0.0</v>
      </c>
      <c r="E128" s="3">
        <v>8990.0</v>
      </c>
      <c r="F128" s="3">
        <f t="shared" si="1"/>
        <v>0</v>
      </c>
      <c r="G128" s="1" t="str">
        <f>+VLOOKUP(B128,'producto terminado'!B:D,3,)</f>
        <v/>
      </c>
      <c r="H128" s="1">
        <f t="shared" si="2"/>
        <v>0</v>
      </c>
      <c r="I128" s="3">
        <f t="shared" si="3"/>
        <v>0</v>
      </c>
    </row>
    <row r="129" ht="14.25" customHeight="1">
      <c r="A129" s="1" t="s">
        <v>36</v>
      </c>
      <c r="B129" s="1" t="s">
        <v>184</v>
      </c>
      <c r="C129" s="1" t="s">
        <v>10</v>
      </c>
      <c r="D129" s="1">
        <v>2.0</v>
      </c>
      <c r="E129" s="3">
        <v>2713.0</v>
      </c>
      <c r="F129" s="3">
        <f t="shared" si="1"/>
        <v>5426</v>
      </c>
      <c r="G129" s="1" t="str">
        <f>+VLOOKUP(B129,'producto terminado'!B:D,3,)</f>
        <v/>
      </c>
      <c r="H129" s="1">
        <f t="shared" si="2"/>
        <v>2</v>
      </c>
      <c r="I129" s="3">
        <f t="shared" si="3"/>
        <v>5426</v>
      </c>
    </row>
    <row r="130" ht="14.25" customHeight="1">
      <c r="A130" s="1" t="s">
        <v>36</v>
      </c>
      <c r="B130" s="1" t="s">
        <v>128</v>
      </c>
      <c r="C130" s="1" t="s">
        <v>10</v>
      </c>
      <c r="D130" s="1">
        <v>3.0</v>
      </c>
      <c r="E130" s="3">
        <v>2658.0</v>
      </c>
      <c r="F130" s="3">
        <f t="shared" si="1"/>
        <v>7974</v>
      </c>
      <c r="G130" s="1" t="str">
        <f>+VLOOKUP(B130,'producto terminado'!B:D,3,)</f>
        <v/>
      </c>
      <c r="H130" s="1">
        <f t="shared" si="2"/>
        <v>3</v>
      </c>
      <c r="I130" s="3">
        <f t="shared" si="3"/>
        <v>7974</v>
      </c>
    </row>
    <row r="131" ht="14.25" customHeight="1">
      <c r="A131" s="1" t="s">
        <v>36</v>
      </c>
      <c r="B131" s="1" t="s">
        <v>160</v>
      </c>
      <c r="C131" s="1" t="s">
        <v>10</v>
      </c>
      <c r="D131" s="1">
        <v>9.0</v>
      </c>
      <c r="E131" s="3">
        <v>1500.0</v>
      </c>
      <c r="F131" s="3">
        <f t="shared" si="1"/>
        <v>13500</v>
      </c>
      <c r="G131" s="1" t="str">
        <f>+VLOOKUP(B131,'producto terminado'!B:D,3,)</f>
        <v/>
      </c>
      <c r="H131" s="1">
        <f t="shared" si="2"/>
        <v>9</v>
      </c>
      <c r="I131" s="3">
        <f t="shared" si="3"/>
        <v>13500</v>
      </c>
    </row>
    <row r="132" ht="14.25" customHeight="1">
      <c r="A132" s="1" t="s">
        <v>36</v>
      </c>
      <c r="B132" s="1" t="s">
        <v>229</v>
      </c>
      <c r="C132" s="1" t="s">
        <v>10</v>
      </c>
      <c r="D132" s="1">
        <v>1.0</v>
      </c>
      <c r="E132" s="3"/>
      <c r="F132" s="3">
        <f t="shared" si="1"/>
        <v>0</v>
      </c>
      <c r="G132" s="1" t="str">
        <f>+VLOOKUP(B132,'producto terminado'!B:D,3,)</f>
        <v/>
      </c>
      <c r="H132" s="1">
        <f t="shared" si="2"/>
        <v>1</v>
      </c>
      <c r="I132" s="3">
        <f t="shared" si="3"/>
        <v>0</v>
      </c>
    </row>
    <row r="133" ht="14.25" customHeight="1">
      <c r="A133" s="1" t="s">
        <v>36</v>
      </c>
      <c r="B133" s="1" t="s">
        <v>230</v>
      </c>
      <c r="C133" s="1" t="s">
        <v>136</v>
      </c>
      <c r="D133" s="1">
        <v>3.0</v>
      </c>
      <c r="E133" s="3"/>
      <c r="F133" s="3">
        <f t="shared" si="1"/>
        <v>0</v>
      </c>
      <c r="G133" s="1" t="str">
        <f>+VLOOKUP(B133,'producto terminado'!B:D,3,)</f>
        <v/>
      </c>
      <c r="H133" s="1">
        <f t="shared" si="2"/>
        <v>3</v>
      </c>
      <c r="I133" s="3">
        <f t="shared" si="3"/>
        <v>0</v>
      </c>
    </row>
    <row r="134" ht="14.25" customHeight="1">
      <c r="A134" s="1" t="s">
        <v>36</v>
      </c>
      <c r="B134" s="1" t="s">
        <v>37</v>
      </c>
      <c r="C134" s="1" t="s">
        <v>10</v>
      </c>
      <c r="D134" s="1">
        <v>0.0</v>
      </c>
      <c r="E134" s="3"/>
      <c r="F134" s="3">
        <f t="shared" si="1"/>
        <v>0</v>
      </c>
      <c r="G134" s="1">
        <f>+VLOOKUP(B134,'producto terminado'!B:D,3,)</f>
        <v>2</v>
      </c>
      <c r="H134" s="1">
        <f t="shared" si="2"/>
        <v>2</v>
      </c>
      <c r="I134" s="3">
        <f t="shared" si="3"/>
        <v>0</v>
      </c>
    </row>
    <row r="135" ht="14.25" customHeight="1">
      <c r="A135" s="1" t="s">
        <v>36</v>
      </c>
      <c r="B135" s="1" t="s">
        <v>231</v>
      </c>
      <c r="C135" s="1" t="s">
        <v>10</v>
      </c>
      <c r="D135" s="1">
        <v>12.0</v>
      </c>
      <c r="E135" s="3"/>
      <c r="F135" s="3">
        <f t="shared" si="1"/>
        <v>0</v>
      </c>
      <c r="G135" s="1" t="str">
        <f>+VLOOKUP(B135,'producto terminado'!B:D,3,)</f>
        <v/>
      </c>
      <c r="H135" s="1">
        <f t="shared" si="2"/>
        <v>12</v>
      </c>
      <c r="I135" s="3">
        <f t="shared" si="3"/>
        <v>0</v>
      </c>
    </row>
    <row r="136" ht="14.25" customHeight="1">
      <c r="A136" s="1" t="s">
        <v>14</v>
      </c>
      <c r="B136" s="1" t="s">
        <v>15</v>
      </c>
      <c r="C136" s="1" t="s">
        <v>10</v>
      </c>
      <c r="D136" s="1">
        <v>2.0</v>
      </c>
      <c r="E136" s="3">
        <v>40000.0</v>
      </c>
      <c r="F136" s="3">
        <f t="shared" si="1"/>
        <v>80000</v>
      </c>
      <c r="G136" s="1">
        <f>+VLOOKUP(B136,'producto terminado'!B:D,3,)</f>
        <v>0.4</v>
      </c>
      <c r="H136" s="1">
        <f t="shared" si="2"/>
        <v>2.4</v>
      </c>
      <c r="I136" s="3">
        <f t="shared" si="3"/>
        <v>96000</v>
      </c>
    </row>
    <row r="137" ht="14.25" customHeight="1">
      <c r="A137" s="1" t="s">
        <v>14</v>
      </c>
      <c r="B137" s="1" t="s">
        <v>114</v>
      </c>
      <c r="C137" s="1" t="s">
        <v>13</v>
      </c>
      <c r="D137" s="1">
        <v>0.0</v>
      </c>
      <c r="E137" s="3">
        <v>18000.0</v>
      </c>
      <c r="F137" s="3">
        <f t="shared" si="1"/>
        <v>0</v>
      </c>
      <c r="G137" s="1" t="str">
        <f>+VLOOKUP(B137,'producto terminado'!B:D,3,)</f>
        <v/>
      </c>
      <c r="H137" s="1">
        <f t="shared" si="2"/>
        <v>0</v>
      </c>
      <c r="I137" s="3">
        <f t="shared" si="3"/>
        <v>0</v>
      </c>
    </row>
    <row r="138" ht="14.25" customHeight="1">
      <c r="A138" s="1" t="s">
        <v>14</v>
      </c>
      <c r="B138" s="1" t="s">
        <v>28</v>
      </c>
      <c r="C138" s="1" t="s">
        <v>13</v>
      </c>
      <c r="D138" s="1">
        <v>3.98</v>
      </c>
      <c r="E138" s="3">
        <v>9990.0</v>
      </c>
      <c r="F138" s="3">
        <f t="shared" si="1"/>
        <v>39760.2</v>
      </c>
      <c r="G138" s="1">
        <f>+VLOOKUP(B138,'producto terminado'!B:D,3,)</f>
        <v>1.49</v>
      </c>
      <c r="H138" s="1">
        <f t="shared" si="2"/>
        <v>5.47</v>
      </c>
      <c r="I138" s="3">
        <f t="shared" si="3"/>
        <v>54645.3</v>
      </c>
    </row>
    <row r="139" ht="14.25" customHeight="1">
      <c r="A139" s="1" t="s">
        <v>14</v>
      </c>
      <c r="B139" s="1" t="s">
        <v>152</v>
      </c>
      <c r="C139" s="1" t="s">
        <v>10</v>
      </c>
      <c r="D139" s="1">
        <v>4.0</v>
      </c>
      <c r="E139" s="3">
        <v>7460.0</v>
      </c>
      <c r="F139" s="3">
        <f t="shared" si="1"/>
        <v>29840</v>
      </c>
      <c r="G139" s="1" t="str">
        <f>+VLOOKUP(B139,'producto terminado'!B:D,3,)</f>
        <v/>
      </c>
      <c r="H139" s="1">
        <f t="shared" si="2"/>
        <v>4</v>
      </c>
      <c r="I139" s="3">
        <f t="shared" si="3"/>
        <v>29840</v>
      </c>
    </row>
    <row r="140" ht="14.25" customHeight="1">
      <c r="A140" s="1" t="s">
        <v>14</v>
      </c>
      <c r="B140" s="1" t="s">
        <v>134</v>
      </c>
      <c r="C140" s="1" t="s">
        <v>13</v>
      </c>
      <c r="D140" s="1">
        <v>4.0</v>
      </c>
      <c r="E140" s="3">
        <v>6176.0</v>
      </c>
      <c r="F140" s="3">
        <f t="shared" si="1"/>
        <v>24704</v>
      </c>
      <c r="G140" s="1" t="str">
        <f>+VLOOKUP(B140,'producto terminado'!B:D,3,)</f>
        <v/>
      </c>
      <c r="H140" s="1">
        <f t="shared" si="2"/>
        <v>4</v>
      </c>
      <c r="I140" s="3">
        <f t="shared" si="3"/>
        <v>24704</v>
      </c>
    </row>
    <row r="141" ht="14.25" customHeight="1">
      <c r="A141" s="1" t="s">
        <v>14</v>
      </c>
      <c r="B141" s="1" t="s">
        <v>104</v>
      </c>
      <c r="C141" s="1" t="s">
        <v>10</v>
      </c>
      <c r="D141" s="1">
        <v>8.0</v>
      </c>
      <c r="E141" s="3">
        <v>4750.0</v>
      </c>
      <c r="F141" s="3">
        <f t="shared" si="1"/>
        <v>38000</v>
      </c>
      <c r="G141" s="1" t="str">
        <f>+VLOOKUP(B141,'producto terminado'!B:D,3,)</f>
        <v/>
      </c>
      <c r="H141" s="1">
        <f t="shared" si="2"/>
        <v>8</v>
      </c>
      <c r="I141" s="3">
        <f t="shared" si="3"/>
        <v>38000</v>
      </c>
    </row>
    <row r="142" ht="14.25" customHeight="1">
      <c r="A142" s="1" t="s">
        <v>14</v>
      </c>
      <c r="B142" s="1" t="s">
        <v>129</v>
      </c>
      <c r="C142" s="1" t="s">
        <v>10</v>
      </c>
      <c r="D142" s="1">
        <v>31.0</v>
      </c>
      <c r="E142" s="3">
        <v>1760.0</v>
      </c>
      <c r="F142" s="3">
        <f t="shared" si="1"/>
        <v>54560</v>
      </c>
      <c r="G142" s="1" t="str">
        <f>+VLOOKUP(B142,'producto terminado'!B:D,3,)</f>
        <v/>
      </c>
      <c r="H142" s="1">
        <f t="shared" si="2"/>
        <v>31</v>
      </c>
      <c r="I142" s="3">
        <f t="shared" si="3"/>
        <v>54560</v>
      </c>
    </row>
    <row r="143" ht="14.25" customHeight="1">
      <c r="A143" s="1" t="s">
        <v>14</v>
      </c>
      <c r="B143" s="1" t="s">
        <v>72</v>
      </c>
      <c r="C143" s="1" t="s">
        <v>10</v>
      </c>
      <c r="D143" s="1">
        <v>0.0</v>
      </c>
      <c r="E143" s="3">
        <v>1749.5</v>
      </c>
      <c r="F143" s="3">
        <f t="shared" si="1"/>
        <v>0</v>
      </c>
      <c r="G143" s="1">
        <f>+VLOOKUP(B143,'producto terminado'!B:D,3,)</f>
        <v>11</v>
      </c>
      <c r="H143" s="1">
        <f t="shared" si="2"/>
        <v>11</v>
      </c>
      <c r="I143" s="3">
        <f t="shared" si="3"/>
        <v>19244.5</v>
      </c>
    </row>
    <row r="144" ht="14.25" customHeight="1">
      <c r="A144" s="1" t="s">
        <v>14</v>
      </c>
      <c r="B144" s="1" t="s">
        <v>132</v>
      </c>
      <c r="C144" s="1" t="s">
        <v>10</v>
      </c>
      <c r="D144" s="1">
        <v>30.0</v>
      </c>
      <c r="E144" s="3">
        <v>1530.0</v>
      </c>
      <c r="F144" s="3">
        <f t="shared" si="1"/>
        <v>45900</v>
      </c>
      <c r="G144" s="1" t="str">
        <f>+VLOOKUP(B144,'producto terminado'!B:D,3,)</f>
        <v/>
      </c>
      <c r="H144" s="1">
        <f t="shared" si="2"/>
        <v>30</v>
      </c>
      <c r="I144" s="3">
        <f t="shared" si="3"/>
        <v>45900</v>
      </c>
    </row>
    <row r="145" ht="14.25" customHeight="1">
      <c r="A145" s="1" t="s">
        <v>14</v>
      </c>
      <c r="B145" s="1" t="s">
        <v>29</v>
      </c>
      <c r="C145" s="1" t="s">
        <v>10</v>
      </c>
      <c r="D145" s="1">
        <v>9.0</v>
      </c>
      <c r="E145" s="3">
        <v>1400.0</v>
      </c>
      <c r="F145" s="3">
        <f t="shared" si="1"/>
        <v>12600</v>
      </c>
      <c r="G145" s="1">
        <f>+VLOOKUP(B145,'producto terminado'!B:D,3,)</f>
        <v>2</v>
      </c>
      <c r="H145" s="1">
        <f t="shared" si="2"/>
        <v>11</v>
      </c>
      <c r="I145" s="3">
        <f t="shared" si="3"/>
        <v>15400</v>
      </c>
    </row>
    <row r="146" ht="14.25" customHeight="1">
      <c r="A146" s="1" t="s">
        <v>14</v>
      </c>
      <c r="B146" s="1" t="s">
        <v>232</v>
      </c>
      <c r="C146" s="1" t="s">
        <v>10</v>
      </c>
      <c r="D146" s="1">
        <v>1.0</v>
      </c>
      <c r="E146" s="3"/>
      <c r="F146" s="3">
        <f t="shared" si="1"/>
        <v>0</v>
      </c>
      <c r="G146" s="1" t="str">
        <f>+VLOOKUP(B146,'producto terminado'!B:D,3,)</f>
        <v/>
      </c>
      <c r="H146" s="1">
        <f t="shared" si="2"/>
        <v>1</v>
      </c>
      <c r="I146" s="3">
        <f t="shared" si="3"/>
        <v>0</v>
      </c>
    </row>
    <row r="147" ht="14.25" customHeight="1">
      <c r="A147" s="1" t="s">
        <v>69</v>
      </c>
      <c r="B147" s="1" t="s">
        <v>70</v>
      </c>
      <c r="C147" s="1" t="s">
        <v>13</v>
      </c>
      <c r="E147" s="3">
        <v>9500.0</v>
      </c>
      <c r="F147" s="3">
        <f t="shared" si="1"/>
        <v>0</v>
      </c>
      <c r="G147" s="1">
        <f>+VLOOKUP(B147,'producto terminado'!B:D,3,)</f>
        <v>9.554</v>
      </c>
      <c r="H147" s="1">
        <f t="shared" si="2"/>
        <v>9.554</v>
      </c>
      <c r="I147" s="3">
        <f t="shared" si="3"/>
        <v>90763</v>
      </c>
    </row>
    <row r="148" ht="14.25" customHeight="1">
      <c r="A148" s="1" t="s">
        <v>17</v>
      </c>
      <c r="B148" s="1" t="s">
        <v>57</v>
      </c>
      <c r="C148" s="1" t="s">
        <v>13</v>
      </c>
      <c r="D148" s="1">
        <v>15.0</v>
      </c>
      <c r="E148" s="3">
        <v>26950.0</v>
      </c>
      <c r="F148" s="3">
        <f t="shared" si="1"/>
        <v>404250</v>
      </c>
      <c r="G148" s="1">
        <f>+VLOOKUP(B148,'producto terminado'!B:D,3,)</f>
        <v>4.675</v>
      </c>
      <c r="H148" s="1">
        <f t="shared" si="2"/>
        <v>19.675</v>
      </c>
      <c r="I148" s="3">
        <f t="shared" si="3"/>
        <v>530241.25</v>
      </c>
    </row>
    <row r="149" ht="14.25" customHeight="1">
      <c r="A149" s="1" t="s">
        <v>17</v>
      </c>
      <c r="B149" s="1" t="s">
        <v>60</v>
      </c>
      <c r="C149" s="1" t="s">
        <v>13</v>
      </c>
      <c r="D149" s="1">
        <v>26.6</v>
      </c>
      <c r="E149" s="3">
        <v>25490.0</v>
      </c>
      <c r="F149" s="3">
        <f t="shared" si="1"/>
        <v>678034</v>
      </c>
      <c r="G149" s="1">
        <f>+VLOOKUP(B149,'producto terminado'!B:D,3,)</f>
        <v>5.265</v>
      </c>
      <c r="H149" s="1">
        <f t="shared" si="2"/>
        <v>31.865</v>
      </c>
      <c r="I149" s="3">
        <f t="shared" si="3"/>
        <v>812238.85</v>
      </c>
    </row>
    <row r="150" ht="14.25" customHeight="1">
      <c r="A150" s="1" t="s">
        <v>17</v>
      </c>
      <c r="B150" s="1" t="s">
        <v>74</v>
      </c>
      <c r="C150" s="1" t="s">
        <v>13</v>
      </c>
      <c r="D150" s="1">
        <v>17.4</v>
      </c>
      <c r="E150" s="3">
        <v>19990.0</v>
      </c>
      <c r="F150" s="3">
        <f t="shared" si="1"/>
        <v>347826</v>
      </c>
      <c r="G150" s="1">
        <f>+VLOOKUP(B150,'producto terminado'!B:D,3,)</f>
        <v>17.17</v>
      </c>
      <c r="H150" s="1">
        <f t="shared" si="2"/>
        <v>34.57</v>
      </c>
      <c r="I150" s="3">
        <f t="shared" si="3"/>
        <v>691054.3</v>
      </c>
    </row>
    <row r="151" ht="14.25" customHeight="1">
      <c r="A151" s="1" t="s">
        <v>17</v>
      </c>
      <c r="B151" s="1" t="s">
        <v>91</v>
      </c>
      <c r="C151" s="1" t="s">
        <v>13</v>
      </c>
      <c r="D151" s="1">
        <v>0.0</v>
      </c>
      <c r="E151" s="3">
        <v>16776.0</v>
      </c>
      <c r="F151" s="3">
        <f t="shared" si="1"/>
        <v>0</v>
      </c>
      <c r="G151" s="1" t="str">
        <f>+VLOOKUP(B151,'producto terminado'!B:D,3,)</f>
        <v/>
      </c>
      <c r="H151" s="1">
        <f t="shared" si="2"/>
        <v>0</v>
      </c>
      <c r="I151" s="3">
        <f t="shared" si="3"/>
        <v>0</v>
      </c>
    </row>
    <row r="152" ht="14.25" customHeight="1">
      <c r="A152" s="1" t="s">
        <v>17</v>
      </c>
      <c r="B152" s="1" t="s">
        <v>40</v>
      </c>
      <c r="C152" s="1" t="s">
        <v>13</v>
      </c>
      <c r="D152" s="1">
        <v>0.0</v>
      </c>
      <c r="E152" s="3">
        <v>14300.0</v>
      </c>
      <c r="F152" s="3">
        <f t="shared" si="1"/>
        <v>0</v>
      </c>
      <c r="G152" s="1">
        <f>+VLOOKUP(B152,'producto terminado'!B:D,3,)</f>
        <v>2.35</v>
      </c>
      <c r="H152" s="1">
        <f t="shared" si="2"/>
        <v>2.35</v>
      </c>
      <c r="I152" s="3">
        <f t="shared" si="3"/>
        <v>33605</v>
      </c>
    </row>
    <row r="153" ht="14.25" customHeight="1">
      <c r="A153" s="1" t="s">
        <v>17</v>
      </c>
      <c r="B153" s="1" t="s">
        <v>44</v>
      </c>
      <c r="C153" s="1" t="s">
        <v>13</v>
      </c>
      <c r="D153" s="1">
        <v>56.4</v>
      </c>
      <c r="E153" s="3">
        <v>13390.0</v>
      </c>
      <c r="F153" s="3">
        <f t="shared" si="1"/>
        <v>755196</v>
      </c>
      <c r="G153" s="1">
        <f>+VLOOKUP(B153,'producto terminado'!B:D,3,)</f>
        <v>2.4</v>
      </c>
      <c r="H153" s="1">
        <f t="shared" si="2"/>
        <v>58.8</v>
      </c>
      <c r="I153" s="3">
        <f t="shared" si="3"/>
        <v>787332</v>
      </c>
    </row>
    <row r="154" ht="14.25" customHeight="1">
      <c r="A154" s="1" t="s">
        <v>17</v>
      </c>
      <c r="B154" s="1" t="s">
        <v>99</v>
      </c>
      <c r="C154" s="1" t="s">
        <v>13</v>
      </c>
      <c r="D154" s="1">
        <v>7.4</v>
      </c>
      <c r="E154" s="3">
        <v>13000.0</v>
      </c>
      <c r="F154" s="3">
        <f t="shared" si="1"/>
        <v>96200</v>
      </c>
      <c r="G154" s="1" t="str">
        <f>+VLOOKUP(B154,'producto terminado'!B:D,3,)</f>
        <v/>
      </c>
      <c r="H154" s="1">
        <f t="shared" si="2"/>
        <v>7.4</v>
      </c>
      <c r="I154" s="3">
        <f t="shared" si="3"/>
        <v>96200</v>
      </c>
    </row>
    <row r="155" ht="14.25" customHeight="1">
      <c r="A155" s="1" t="s">
        <v>17</v>
      </c>
      <c r="B155" s="1" t="s">
        <v>109</v>
      </c>
      <c r="C155" s="1" t="s">
        <v>10</v>
      </c>
      <c r="D155" s="1">
        <v>3.0</v>
      </c>
      <c r="E155" s="3">
        <v>12990.0</v>
      </c>
      <c r="F155" s="3">
        <f t="shared" si="1"/>
        <v>38970</v>
      </c>
      <c r="G155" s="1" t="str">
        <f>+VLOOKUP(B155,'producto terminado'!B:D,3,)</f>
        <v/>
      </c>
      <c r="H155" s="1">
        <f t="shared" si="2"/>
        <v>3</v>
      </c>
      <c r="I155" s="3">
        <f t="shared" si="3"/>
        <v>38970</v>
      </c>
    </row>
    <row r="156" ht="14.25" customHeight="1">
      <c r="A156" s="1" t="s">
        <v>17</v>
      </c>
      <c r="B156" s="1" t="s">
        <v>50</v>
      </c>
      <c r="C156" s="1" t="s">
        <v>13</v>
      </c>
      <c r="D156" s="1">
        <v>3.1</v>
      </c>
      <c r="E156" s="3">
        <v>12400.0</v>
      </c>
      <c r="F156" s="3">
        <f t="shared" si="1"/>
        <v>38440</v>
      </c>
      <c r="G156" s="1">
        <f>+VLOOKUP(B156,'producto terminado'!B:D,3,)</f>
        <v>3.91</v>
      </c>
      <c r="H156" s="1">
        <f t="shared" si="2"/>
        <v>7.01</v>
      </c>
      <c r="I156" s="3">
        <f t="shared" si="3"/>
        <v>86924</v>
      </c>
    </row>
    <row r="157" ht="14.25" customHeight="1">
      <c r="A157" s="1" t="s">
        <v>17</v>
      </c>
      <c r="B157" s="1" t="s">
        <v>67</v>
      </c>
      <c r="C157" s="1" t="s">
        <v>13</v>
      </c>
      <c r="D157" s="1">
        <v>0.0</v>
      </c>
      <c r="E157" s="3">
        <v>11990.0</v>
      </c>
      <c r="F157" s="3">
        <f t="shared" si="1"/>
        <v>0</v>
      </c>
      <c r="G157" s="1">
        <f>+VLOOKUP(B157,'producto terminado'!B:D,3,)</f>
        <v>7.185</v>
      </c>
      <c r="H157" s="1">
        <f t="shared" si="2"/>
        <v>7.185</v>
      </c>
      <c r="I157" s="3">
        <f t="shared" si="3"/>
        <v>86148.15</v>
      </c>
    </row>
    <row r="158" ht="14.25" customHeight="1">
      <c r="A158" s="1" t="s">
        <v>17</v>
      </c>
      <c r="B158" s="1" t="s">
        <v>47</v>
      </c>
      <c r="C158" s="1" t="s">
        <v>13</v>
      </c>
      <c r="D158" s="1">
        <v>0.0</v>
      </c>
      <c r="E158" s="3">
        <v>11790.0</v>
      </c>
      <c r="F158" s="3">
        <f t="shared" si="1"/>
        <v>0</v>
      </c>
      <c r="G158" s="1">
        <f>+VLOOKUP(B158,'producto terminado'!B:D,3,)</f>
        <v>3.4</v>
      </c>
      <c r="H158" s="1">
        <f t="shared" si="2"/>
        <v>3.4</v>
      </c>
      <c r="I158" s="3">
        <f t="shared" si="3"/>
        <v>40086</v>
      </c>
    </row>
    <row r="159" ht="14.25" customHeight="1">
      <c r="A159" s="1" t="s">
        <v>17</v>
      </c>
      <c r="B159" s="1" t="s">
        <v>55</v>
      </c>
      <c r="C159" s="1" t="s">
        <v>13</v>
      </c>
      <c r="D159" s="1">
        <v>11.9</v>
      </c>
      <c r="E159" s="3">
        <v>10990.0</v>
      </c>
      <c r="F159" s="3">
        <f t="shared" si="1"/>
        <v>130781</v>
      </c>
      <c r="G159" s="1">
        <f>+VLOOKUP(B159,'producto terminado'!B:D,3,)</f>
        <v>4.5</v>
      </c>
      <c r="H159" s="1">
        <f t="shared" si="2"/>
        <v>16.4</v>
      </c>
      <c r="I159" s="3">
        <f t="shared" si="3"/>
        <v>180236</v>
      </c>
    </row>
    <row r="160" ht="14.25" customHeight="1">
      <c r="A160" s="1" t="s">
        <v>17</v>
      </c>
      <c r="B160" s="1" t="s">
        <v>95</v>
      </c>
      <c r="C160" s="1" t="s">
        <v>13</v>
      </c>
      <c r="D160" s="1">
        <v>10.0</v>
      </c>
      <c r="E160" s="3">
        <v>9820.0</v>
      </c>
      <c r="F160" s="3">
        <f t="shared" si="1"/>
        <v>98200</v>
      </c>
      <c r="G160" s="1" t="str">
        <f>+VLOOKUP(B160,'producto terminado'!B:D,3,)</f>
        <v/>
      </c>
      <c r="H160" s="1">
        <f t="shared" si="2"/>
        <v>10</v>
      </c>
      <c r="I160" s="3">
        <f t="shared" si="3"/>
        <v>98200</v>
      </c>
    </row>
    <row r="161" ht="14.25" customHeight="1">
      <c r="A161" s="1" t="s">
        <v>17</v>
      </c>
      <c r="B161" s="1" t="s">
        <v>90</v>
      </c>
      <c r="C161" s="1" t="s">
        <v>13</v>
      </c>
      <c r="D161" s="1">
        <v>41.4</v>
      </c>
      <c r="E161" s="3">
        <v>7100.0</v>
      </c>
      <c r="F161" s="3">
        <f t="shared" si="1"/>
        <v>293940</v>
      </c>
      <c r="G161" s="1" t="str">
        <f>+VLOOKUP(B161,'producto terminado'!B:D,3,)</f>
        <v/>
      </c>
      <c r="H161" s="1">
        <f t="shared" si="2"/>
        <v>41.4</v>
      </c>
      <c r="I161" s="3">
        <f t="shared" si="3"/>
        <v>293940</v>
      </c>
    </row>
    <row r="162" ht="14.25" customHeight="1">
      <c r="A162" s="1" t="s">
        <v>17</v>
      </c>
      <c r="B162" s="1" t="s">
        <v>22</v>
      </c>
      <c r="C162" s="1" t="s">
        <v>13</v>
      </c>
      <c r="D162" s="1">
        <v>42.3</v>
      </c>
      <c r="E162" s="3">
        <v>6444.0</v>
      </c>
      <c r="F162" s="3">
        <f t="shared" si="1"/>
        <v>272581.2</v>
      </c>
      <c r="G162" s="1">
        <f>+VLOOKUP(B162,'producto terminado'!B:D,3,)</f>
        <v>0.9</v>
      </c>
      <c r="H162" s="1">
        <f t="shared" si="2"/>
        <v>43.2</v>
      </c>
      <c r="I162" s="3">
        <f t="shared" si="3"/>
        <v>278380.8</v>
      </c>
    </row>
    <row r="163" ht="14.25" customHeight="1">
      <c r="A163" s="1" t="s">
        <v>17</v>
      </c>
      <c r="B163" s="1" t="s">
        <v>18</v>
      </c>
      <c r="C163" s="1" t="s">
        <v>13</v>
      </c>
      <c r="D163" s="1">
        <v>1.0</v>
      </c>
      <c r="E163" s="3">
        <v>2790.0</v>
      </c>
      <c r="F163" s="3">
        <f t="shared" si="1"/>
        <v>2790</v>
      </c>
      <c r="G163" s="1">
        <f>+VLOOKUP(B163,'producto terminado'!B:D,3,)</f>
        <v>0.5</v>
      </c>
      <c r="H163" s="1">
        <f t="shared" si="2"/>
        <v>1.5</v>
      </c>
      <c r="I163" s="3">
        <f t="shared" si="3"/>
        <v>4185</v>
      </c>
    </row>
    <row r="164" ht="14.25" customHeight="1">
      <c r="A164" s="1" t="s">
        <v>17</v>
      </c>
      <c r="B164" s="1" t="s">
        <v>79</v>
      </c>
      <c r="C164" s="1" t="s">
        <v>10</v>
      </c>
      <c r="D164" s="1">
        <v>277.0</v>
      </c>
      <c r="E164" s="3">
        <v>195.0</v>
      </c>
      <c r="F164" s="3">
        <f t="shared" si="1"/>
        <v>54015</v>
      </c>
      <c r="G164" s="1">
        <f>+VLOOKUP(B164,'producto terminado'!B:D,3,)</f>
        <v>42</v>
      </c>
      <c r="H164" s="1">
        <f t="shared" si="2"/>
        <v>319</v>
      </c>
      <c r="I164" s="3">
        <f t="shared" si="3"/>
        <v>62205</v>
      </c>
    </row>
    <row r="165" ht="14.25" customHeight="1">
      <c r="A165" s="1" t="s">
        <v>17</v>
      </c>
      <c r="B165" s="1" t="s">
        <v>233</v>
      </c>
      <c r="C165" s="1" t="s">
        <v>13</v>
      </c>
      <c r="D165" s="1">
        <v>0.5</v>
      </c>
      <c r="E165" s="3"/>
      <c r="F165" s="3">
        <f t="shared" si="1"/>
        <v>0</v>
      </c>
      <c r="G165" s="1" t="str">
        <f>+VLOOKUP(B165,'producto terminado'!B:D,3,)</f>
        <v/>
      </c>
      <c r="H165" s="1">
        <f t="shared" si="2"/>
        <v>0.5</v>
      </c>
      <c r="I165" s="3">
        <f t="shared" si="3"/>
        <v>0</v>
      </c>
    </row>
    <row r="166" ht="14.25" customHeight="1">
      <c r="A166" s="1" t="s">
        <v>17</v>
      </c>
      <c r="B166" s="1" t="s">
        <v>234</v>
      </c>
      <c r="C166" s="1" t="s">
        <v>13</v>
      </c>
      <c r="D166" s="1">
        <v>0.0</v>
      </c>
      <c r="E166" s="3"/>
      <c r="F166" s="3">
        <f t="shared" si="1"/>
        <v>0</v>
      </c>
      <c r="G166" s="1" t="str">
        <f>+VLOOKUP(B166,'producto terminado'!B:D,3,)</f>
        <v/>
      </c>
      <c r="H166" s="1">
        <f t="shared" si="2"/>
        <v>0</v>
      </c>
      <c r="I166" s="3">
        <f t="shared" si="3"/>
        <v>0</v>
      </c>
    </row>
    <row r="167" ht="14.25" customHeight="1">
      <c r="A167" s="1" t="s">
        <v>17</v>
      </c>
      <c r="B167" s="1" t="s">
        <v>235</v>
      </c>
      <c r="C167" s="1" t="s">
        <v>13</v>
      </c>
      <c r="D167" s="1">
        <v>0.0</v>
      </c>
      <c r="E167" s="3"/>
      <c r="F167" s="3">
        <f t="shared" si="1"/>
        <v>0</v>
      </c>
      <c r="G167" s="1" t="str">
        <f>+VLOOKUP(B167,'producto terminado'!B:D,3,)</f>
        <v/>
      </c>
      <c r="H167" s="1">
        <f t="shared" si="2"/>
        <v>0</v>
      </c>
      <c r="I167" s="3">
        <f t="shared" si="3"/>
        <v>0</v>
      </c>
    </row>
    <row r="168" ht="14.25" customHeight="1">
      <c r="A168" s="1" t="s">
        <v>17</v>
      </c>
      <c r="B168" s="1" t="s">
        <v>236</v>
      </c>
      <c r="C168" s="1" t="s">
        <v>13</v>
      </c>
      <c r="D168" s="1">
        <v>2.0</v>
      </c>
      <c r="E168" s="3"/>
      <c r="F168" s="3">
        <f t="shared" si="1"/>
        <v>0</v>
      </c>
      <c r="G168" s="1" t="str">
        <f>+VLOOKUP(B168,'producto terminado'!B:D,3,)</f>
        <v/>
      </c>
      <c r="H168" s="1">
        <f t="shared" si="2"/>
        <v>2</v>
      </c>
      <c r="I168" s="3">
        <f t="shared" si="3"/>
        <v>0</v>
      </c>
    </row>
    <row r="169" ht="14.25" customHeight="1">
      <c r="A169" s="1" t="s">
        <v>17</v>
      </c>
      <c r="B169" s="1" t="s">
        <v>237</v>
      </c>
      <c r="C169" s="1" t="s">
        <v>10</v>
      </c>
      <c r="D169" s="1">
        <v>3.0</v>
      </c>
      <c r="E169" s="3"/>
      <c r="F169" s="3">
        <f t="shared" si="1"/>
        <v>0</v>
      </c>
      <c r="G169" s="1" t="str">
        <f>+VLOOKUP(B169,'producto terminado'!B:D,3,)</f>
        <v/>
      </c>
      <c r="H169" s="1">
        <f t="shared" si="2"/>
        <v>3</v>
      </c>
      <c r="I169" s="3">
        <f t="shared" si="3"/>
        <v>0</v>
      </c>
    </row>
    <row r="170" ht="14.25" customHeight="1">
      <c r="A170" s="1" t="s">
        <v>17</v>
      </c>
      <c r="B170" s="1" t="s">
        <v>64</v>
      </c>
      <c r="C170" s="1" t="s">
        <v>13</v>
      </c>
      <c r="D170" s="1">
        <v>0.0</v>
      </c>
      <c r="E170" s="3"/>
      <c r="F170" s="3">
        <f t="shared" si="1"/>
        <v>0</v>
      </c>
      <c r="G170" s="1">
        <f>+VLOOKUP(B170,'producto terminado'!B:D,3,)</f>
        <v>6.655</v>
      </c>
      <c r="H170" s="1">
        <f t="shared" si="2"/>
        <v>6.655</v>
      </c>
      <c r="I170" s="3">
        <f t="shared" si="3"/>
        <v>0</v>
      </c>
    </row>
    <row r="171" ht="14.25" customHeight="1">
      <c r="A171" s="1" t="s">
        <v>17</v>
      </c>
      <c r="B171" s="1" t="s">
        <v>238</v>
      </c>
      <c r="C171" s="1" t="s">
        <v>13</v>
      </c>
      <c r="D171" s="1">
        <v>6.5</v>
      </c>
      <c r="E171" s="3"/>
      <c r="F171" s="3">
        <f t="shared" si="1"/>
        <v>0</v>
      </c>
      <c r="G171" s="1" t="str">
        <f>+VLOOKUP(B171,'producto terminado'!B:D,3,)</f>
        <v/>
      </c>
      <c r="H171" s="1">
        <f t="shared" si="2"/>
        <v>6.5</v>
      </c>
      <c r="I171" s="3">
        <f t="shared" si="3"/>
        <v>0</v>
      </c>
    </row>
    <row r="172" ht="14.25" customHeight="1">
      <c r="A172" s="1" t="s">
        <v>17</v>
      </c>
      <c r="B172" s="1" t="s">
        <v>239</v>
      </c>
      <c r="C172" s="1" t="s">
        <v>13</v>
      </c>
      <c r="D172" s="1">
        <v>0.0</v>
      </c>
      <c r="E172" s="3"/>
      <c r="F172" s="3">
        <f t="shared" si="1"/>
        <v>0</v>
      </c>
      <c r="G172" s="1" t="str">
        <f>+VLOOKUP(B172,'producto terminado'!B:D,3,)</f>
        <v/>
      </c>
      <c r="H172" s="1">
        <f t="shared" si="2"/>
        <v>0</v>
      </c>
      <c r="I172" s="3">
        <f t="shared" si="3"/>
        <v>0</v>
      </c>
    </row>
    <row r="173" ht="14.25" customHeight="1">
      <c r="A173" s="1" t="s">
        <v>17</v>
      </c>
      <c r="B173" s="1" t="s">
        <v>240</v>
      </c>
      <c r="C173" s="1" t="s">
        <v>13</v>
      </c>
      <c r="D173" s="1">
        <v>0.0</v>
      </c>
      <c r="E173" s="3"/>
      <c r="F173" s="3">
        <f t="shared" si="1"/>
        <v>0</v>
      </c>
      <c r="G173" s="1" t="str">
        <f>+VLOOKUP(B173,'producto terminado'!B:D,3,)</f>
        <v/>
      </c>
      <c r="H173" s="1">
        <f t="shared" si="2"/>
        <v>0</v>
      </c>
      <c r="I173" s="3">
        <f t="shared" si="3"/>
        <v>0</v>
      </c>
    </row>
    <row r="174" ht="14.25" customHeight="1">
      <c r="A174" s="1" t="s">
        <v>17</v>
      </c>
      <c r="B174" s="1" t="s">
        <v>241</v>
      </c>
      <c r="C174" s="1" t="s">
        <v>13</v>
      </c>
      <c r="D174" s="1">
        <v>10.0</v>
      </c>
      <c r="E174" s="3"/>
      <c r="F174" s="3">
        <f t="shared" si="1"/>
        <v>0</v>
      </c>
      <c r="G174" s="1" t="str">
        <f>+VLOOKUP(B174,'producto terminado'!B:D,3,)</f>
        <v/>
      </c>
      <c r="H174" s="1">
        <f t="shared" si="2"/>
        <v>10</v>
      </c>
      <c r="I174" s="3">
        <f t="shared" si="3"/>
        <v>0</v>
      </c>
    </row>
    <row r="175" ht="14.25" customHeight="1">
      <c r="A175" s="1" t="s">
        <v>17</v>
      </c>
      <c r="B175" s="1" t="s">
        <v>247</v>
      </c>
      <c r="C175" s="1" t="s">
        <v>13</v>
      </c>
      <c r="D175" s="1">
        <v>5.4</v>
      </c>
      <c r="E175" s="3"/>
      <c r="F175" s="3">
        <f t="shared" si="1"/>
        <v>0</v>
      </c>
      <c r="G175" s="1">
        <v>0.0</v>
      </c>
      <c r="H175" s="1">
        <f t="shared" si="2"/>
        <v>5.4</v>
      </c>
      <c r="I175" s="3">
        <f t="shared" si="3"/>
        <v>0</v>
      </c>
    </row>
    <row r="176" ht="14.25" customHeight="1">
      <c r="A176" s="1" t="s">
        <v>17</v>
      </c>
      <c r="B176" s="1" t="s">
        <v>242</v>
      </c>
      <c r="C176" s="1" t="s">
        <v>13</v>
      </c>
      <c r="D176" s="1">
        <v>15.35</v>
      </c>
      <c r="E176" s="3"/>
      <c r="F176" s="3">
        <f t="shared" si="1"/>
        <v>0</v>
      </c>
      <c r="G176" s="1" t="str">
        <f>+VLOOKUP(B176,'producto terminado'!B:D,3,)</f>
        <v/>
      </c>
      <c r="H176" s="1">
        <f t="shared" si="2"/>
        <v>15.35</v>
      </c>
      <c r="I176" s="3">
        <f t="shared" si="3"/>
        <v>0</v>
      </c>
    </row>
    <row r="177" ht="14.25" customHeight="1">
      <c r="A177" s="1" t="s">
        <v>17</v>
      </c>
      <c r="B177" s="1" t="s">
        <v>243</v>
      </c>
      <c r="C177" s="1" t="s">
        <v>13</v>
      </c>
      <c r="D177" s="1">
        <v>16.66</v>
      </c>
      <c r="E177" s="3"/>
      <c r="F177" s="3">
        <f t="shared" si="1"/>
        <v>0</v>
      </c>
      <c r="G177" s="1" t="str">
        <f>+VLOOKUP(B177,'producto terminado'!B:D,3,)</f>
        <v/>
      </c>
      <c r="H177" s="1">
        <f t="shared" si="2"/>
        <v>16.66</v>
      </c>
      <c r="I177" s="3">
        <f t="shared" si="3"/>
        <v>0</v>
      </c>
    </row>
    <row r="178" ht="14.25" customHeight="1">
      <c r="A178" s="1" t="s">
        <v>17</v>
      </c>
      <c r="B178" s="1" t="s">
        <v>244</v>
      </c>
      <c r="C178" s="1" t="s">
        <v>13</v>
      </c>
      <c r="D178" s="1">
        <v>12.36</v>
      </c>
      <c r="E178" s="3"/>
      <c r="F178" s="3">
        <f t="shared" si="1"/>
        <v>0</v>
      </c>
      <c r="G178" s="1" t="str">
        <f>+VLOOKUP(B178,'producto terminado'!B:D,3,)</f>
        <v/>
      </c>
      <c r="H178" s="1">
        <f t="shared" si="2"/>
        <v>12.36</v>
      </c>
      <c r="I178" s="3">
        <f t="shared" si="3"/>
        <v>0</v>
      </c>
    </row>
    <row r="179" ht="14.25" customHeight="1">
      <c r="A179" s="1" t="s">
        <v>20</v>
      </c>
      <c r="B179" s="1" t="s">
        <v>139</v>
      </c>
      <c r="C179" s="1" t="s">
        <v>140</v>
      </c>
      <c r="D179" s="1">
        <v>0.0</v>
      </c>
      <c r="E179" s="3">
        <v>12000.0</v>
      </c>
      <c r="F179" s="3">
        <f t="shared" si="1"/>
        <v>0</v>
      </c>
      <c r="G179" s="1" t="str">
        <f>+VLOOKUP(B179,'producto terminado'!B:D,3,)</f>
        <v/>
      </c>
      <c r="H179" s="1">
        <f t="shared" si="2"/>
        <v>0</v>
      </c>
      <c r="I179" s="3">
        <f t="shared" si="3"/>
        <v>0</v>
      </c>
    </row>
    <row r="180" ht="14.25" customHeight="1">
      <c r="A180" s="1" t="s">
        <v>20</v>
      </c>
      <c r="B180" s="1" t="s">
        <v>110</v>
      </c>
      <c r="C180" s="1" t="s">
        <v>13</v>
      </c>
      <c r="D180" s="1">
        <v>1.5</v>
      </c>
      <c r="E180" s="3">
        <v>7500.0</v>
      </c>
      <c r="F180" s="3">
        <f t="shared" si="1"/>
        <v>11250</v>
      </c>
      <c r="G180" s="1" t="str">
        <f>+VLOOKUP(B180,'producto terminado'!B:D,3,)</f>
        <v/>
      </c>
      <c r="H180" s="1">
        <f t="shared" si="2"/>
        <v>1.5</v>
      </c>
      <c r="I180" s="3">
        <f t="shared" si="3"/>
        <v>11250</v>
      </c>
    </row>
    <row r="181" ht="14.25" customHeight="1">
      <c r="A181" s="1" t="s">
        <v>20</v>
      </c>
      <c r="B181" s="1" t="s">
        <v>21</v>
      </c>
      <c r="C181" s="1" t="s">
        <v>13</v>
      </c>
      <c r="D181" s="1">
        <v>0.29</v>
      </c>
      <c r="E181" s="3">
        <v>7000.0</v>
      </c>
      <c r="F181" s="3">
        <f t="shared" si="1"/>
        <v>2030</v>
      </c>
      <c r="G181" s="1">
        <f>+VLOOKUP(B181,'producto terminado'!B:D,3,)</f>
        <v>0.6</v>
      </c>
      <c r="H181" s="1">
        <f t="shared" si="2"/>
        <v>0.89</v>
      </c>
      <c r="I181" s="3">
        <f t="shared" si="3"/>
        <v>6230</v>
      </c>
    </row>
    <row r="182" ht="14.25" customHeight="1">
      <c r="A182" s="1" t="s">
        <v>20</v>
      </c>
      <c r="B182" s="1" t="s">
        <v>158</v>
      </c>
      <c r="C182" s="1" t="s">
        <v>140</v>
      </c>
      <c r="D182" s="1">
        <v>0.8</v>
      </c>
      <c r="E182" s="3">
        <v>6500.0</v>
      </c>
      <c r="F182" s="3">
        <f t="shared" si="1"/>
        <v>5200</v>
      </c>
      <c r="G182" s="1" t="str">
        <f>+VLOOKUP(B182,'producto terminado'!B:D,3,)</f>
        <v/>
      </c>
      <c r="H182" s="1">
        <f t="shared" si="2"/>
        <v>0.8</v>
      </c>
      <c r="I182" s="3">
        <f t="shared" si="3"/>
        <v>5200</v>
      </c>
    </row>
    <row r="183" ht="14.25" customHeight="1">
      <c r="A183" s="1" t="s">
        <v>20</v>
      </c>
      <c r="B183" s="1" t="s">
        <v>142</v>
      </c>
      <c r="C183" s="1" t="s">
        <v>13</v>
      </c>
      <c r="D183" s="1">
        <v>2.09</v>
      </c>
      <c r="E183" s="3">
        <v>4990.0</v>
      </c>
      <c r="F183" s="3">
        <f t="shared" si="1"/>
        <v>10429.1</v>
      </c>
      <c r="G183" s="1" t="str">
        <f>+VLOOKUP(B183,'producto terminado'!B:D,3,)</f>
        <v/>
      </c>
      <c r="H183" s="1">
        <f t="shared" si="2"/>
        <v>2.09</v>
      </c>
      <c r="I183" s="3">
        <f t="shared" si="3"/>
        <v>10429.1</v>
      </c>
    </row>
    <row r="184" ht="14.25" customHeight="1">
      <c r="A184" s="1" t="s">
        <v>20</v>
      </c>
      <c r="B184" s="1" t="s">
        <v>168</v>
      </c>
      <c r="C184" s="1" t="s">
        <v>13</v>
      </c>
      <c r="D184" s="1">
        <v>0.0</v>
      </c>
      <c r="E184" s="3">
        <v>4000.0</v>
      </c>
      <c r="F184" s="3">
        <f t="shared" si="1"/>
        <v>0</v>
      </c>
      <c r="G184" s="1" t="str">
        <f>+VLOOKUP(B184,'producto terminado'!B:D,3,)</f>
        <v/>
      </c>
      <c r="H184" s="1">
        <f t="shared" si="2"/>
        <v>0</v>
      </c>
      <c r="I184" s="3">
        <f t="shared" si="3"/>
        <v>0</v>
      </c>
    </row>
    <row r="185" ht="14.25" customHeight="1">
      <c r="A185" s="1" t="s">
        <v>20</v>
      </c>
      <c r="B185" s="1" t="s">
        <v>191</v>
      </c>
      <c r="C185" s="1" t="s">
        <v>13</v>
      </c>
      <c r="D185" s="1">
        <v>0.0</v>
      </c>
      <c r="E185" s="3">
        <v>4000.0</v>
      </c>
      <c r="F185" s="3">
        <f t="shared" si="1"/>
        <v>0</v>
      </c>
      <c r="G185" s="1" t="str">
        <f>+VLOOKUP(B185,'producto terminado'!B:D,3,)</f>
        <v/>
      </c>
      <c r="H185" s="1">
        <f t="shared" si="2"/>
        <v>0</v>
      </c>
      <c r="I185" s="3">
        <f t="shared" si="3"/>
        <v>0</v>
      </c>
    </row>
    <row r="186" ht="14.25" customHeight="1">
      <c r="A186" s="1" t="s">
        <v>20</v>
      </c>
      <c r="B186" s="1" t="s">
        <v>112</v>
      </c>
      <c r="C186" s="1" t="s">
        <v>13</v>
      </c>
      <c r="D186" s="1">
        <v>0.0</v>
      </c>
      <c r="E186" s="3">
        <v>3500.0</v>
      </c>
      <c r="F186" s="3">
        <f t="shared" si="1"/>
        <v>0</v>
      </c>
      <c r="G186" s="1" t="str">
        <f>+VLOOKUP(B186,'producto terminado'!B:D,3,)</f>
        <v/>
      </c>
      <c r="H186" s="1">
        <f t="shared" si="2"/>
        <v>0</v>
      </c>
      <c r="I186" s="3">
        <f t="shared" si="3"/>
        <v>0</v>
      </c>
    </row>
    <row r="187" ht="14.25" customHeight="1">
      <c r="A187" s="1" t="s">
        <v>20</v>
      </c>
      <c r="B187" s="1" t="s">
        <v>174</v>
      </c>
      <c r="C187" s="1" t="s">
        <v>140</v>
      </c>
      <c r="D187" s="1">
        <v>0.0</v>
      </c>
      <c r="E187" s="3">
        <v>3500.0</v>
      </c>
      <c r="F187" s="3">
        <f t="shared" si="1"/>
        <v>0</v>
      </c>
      <c r="G187" s="1" t="str">
        <f>+VLOOKUP(B187,'producto terminado'!B:D,3,)</f>
        <v/>
      </c>
      <c r="H187" s="1">
        <f t="shared" si="2"/>
        <v>0</v>
      </c>
      <c r="I187" s="3">
        <f t="shared" si="3"/>
        <v>0</v>
      </c>
    </row>
    <row r="188" ht="14.25" customHeight="1">
      <c r="A188" s="1" t="s">
        <v>20</v>
      </c>
      <c r="B188" s="1" t="s">
        <v>178</v>
      </c>
      <c r="C188" s="1" t="s">
        <v>140</v>
      </c>
      <c r="D188" s="1">
        <v>2.0</v>
      </c>
      <c r="E188" s="3">
        <v>3000.0</v>
      </c>
      <c r="F188" s="3">
        <f t="shared" si="1"/>
        <v>6000</v>
      </c>
      <c r="G188" s="1" t="str">
        <f>+VLOOKUP(B188,'producto terminado'!B:D,3,)</f>
        <v/>
      </c>
      <c r="H188" s="1">
        <f t="shared" si="2"/>
        <v>2</v>
      </c>
      <c r="I188" s="3">
        <f t="shared" si="3"/>
        <v>6000</v>
      </c>
    </row>
    <row r="189" ht="14.25" customHeight="1">
      <c r="A189" s="1" t="s">
        <v>20</v>
      </c>
      <c r="B189" s="1" t="s">
        <v>186</v>
      </c>
      <c r="C189" s="1" t="s">
        <v>140</v>
      </c>
      <c r="D189" s="1">
        <v>1.1</v>
      </c>
      <c r="E189" s="3">
        <v>2500.0</v>
      </c>
      <c r="F189" s="3">
        <f t="shared" si="1"/>
        <v>2750</v>
      </c>
      <c r="G189" s="1" t="str">
        <f>+VLOOKUP(B189,'producto terminado'!B:D,3,)</f>
        <v/>
      </c>
      <c r="H189" s="1">
        <f t="shared" si="2"/>
        <v>1.1</v>
      </c>
      <c r="I189" s="3">
        <f t="shared" si="3"/>
        <v>2750</v>
      </c>
    </row>
    <row r="190" ht="14.25" customHeight="1">
      <c r="A190" s="1" t="s">
        <v>20</v>
      </c>
      <c r="B190" s="1" t="s">
        <v>170</v>
      </c>
      <c r="C190" s="1" t="s">
        <v>13</v>
      </c>
      <c r="D190" s="1">
        <v>1.866</v>
      </c>
      <c r="E190" s="3">
        <v>2200.0</v>
      </c>
      <c r="F190" s="3">
        <f t="shared" si="1"/>
        <v>4105.2</v>
      </c>
      <c r="G190" s="1" t="str">
        <f>+VLOOKUP(B190,'producto terminado'!B:D,3,)</f>
        <v/>
      </c>
      <c r="H190" s="1">
        <f t="shared" si="2"/>
        <v>1.866</v>
      </c>
      <c r="I190" s="3">
        <f t="shared" si="3"/>
        <v>4105.2</v>
      </c>
    </row>
    <row r="191" ht="14.25" customHeight="1">
      <c r="A191" s="1" t="s">
        <v>20</v>
      </c>
      <c r="B191" s="1" t="s">
        <v>198</v>
      </c>
      <c r="C191" s="1" t="s">
        <v>10</v>
      </c>
      <c r="D191" s="1">
        <v>0.8</v>
      </c>
      <c r="E191" s="3">
        <v>2000.0</v>
      </c>
      <c r="F191" s="3">
        <f t="shared" si="1"/>
        <v>1600</v>
      </c>
      <c r="G191" s="1" t="str">
        <f>+VLOOKUP(B191,'producto terminado'!B:D,3,)</f>
        <v/>
      </c>
      <c r="H191" s="1">
        <f t="shared" si="2"/>
        <v>0.8</v>
      </c>
      <c r="I191" s="3">
        <f t="shared" si="3"/>
        <v>1600</v>
      </c>
    </row>
    <row r="192" ht="14.25" customHeight="1">
      <c r="A192" s="1" t="s">
        <v>20</v>
      </c>
      <c r="B192" s="1" t="s">
        <v>105</v>
      </c>
      <c r="C192" s="1" t="s">
        <v>13</v>
      </c>
      <c r="D192" s="1">
        <v>9.6</v>
      </c>
      <c r="E192" s="3">
        <v>1700.0</v>
      </c>
      <c r="F192" s="3">
        <f t="shared" si="1"/>
        <v>16320</v>
      </c>
      <c r="G192" s="1" t="str">
        <f>+VLOOKUP(B192,'producto terminado'!B:D,3,)</f>
        <v/>
      </c>
      <c r="H192" s="1">
        <f t="shared" si="2"/>
        <v>9.6</v>
      </c>
      <c r="I192" s="3">
        <f t="shared" si="3"/>
        <v>16320</v>
      </c>
    </row>
    <row r="193" ht="14.25" customHeight="1">
      <c r="A193" s="1" t="s">
        <v>20</v>
      </c>
      <c r="B193" s="1" t="s">
        <v>171</v>
      </c>
      <c r="C193" s="1" t="s">
        <v>13</v>
      </c>
      <c r="D193" s="1">
        <v>0.0</v>
      </c>
      <c r="E193" s="3">
        <v>1690.0</v>
      </c>
      <c r="F193" s="3">
        <f t="shared" si="1"/>
        <v>0</v>
      </c>
      <c r="G193" s="1" t="str">
        <f>+VLOOKUP(B193,'producto terminado'!B:D,3,)</f>
        <v/>
      </c>
      <c r="H193" s="1">
        <f t="shared" si="2"/>
        <v>0</v>
      </c>
      <c r="I193" s="3">
        <f t="shared" si="3"/>
        <v>0</v>
      </c>
    </row>
    <row r="194" ht="14.25" customHeight="1">
      <c r="A194" s="1" t="s">
        <v>20</v>
      </c>
      <c r="B194" s="1" t="s">
        <v>167</v>
      </c>
      <c r="C194" s="1" t="s">
        <v>140</v>
      </c>
      <c r="D194" s="1">
        <v>0.0</v>
      </c>
      <c r="E194" s="3">
        <v>1500.0</v>
      </c>
      <c r="F194" s="3">
        <f t="shared" si="1"/>
        <v>0</v>
      </c>
      <c r="G194" s="1" t="str">
        <f>+VLOOKUP(B194,'producto terminado'!B:D,3,)</f>
        <v/>
      </c>
      <c r="H194" s="1">
        <f t="shared" si="2"/>
        <v>0</v>
      </c>
      <c r="I194" s="3">
        <f t="shared" si="3"/>
        <v>0</v>
      </c>
    </row>
    <row r="195" ht="14.25" customHeight="1">
      <c r="A195" s="1" t="s">
        <v>20</v>
      </c>
      <c r="B195" s="1" t="s">
        <v>179</v>
      </c>
      <c r="C195" s="1" t="s">
        <v>10</v>
      </c>
      <c r="D195" s="1">
        <v>2.0</v>
      </c>
      <c r="E195" s="3">
        <v>1500.0</v>
      </c>
      <c r="F195" s="3">
        <f t="shared" si="1"/>
        <v>3000</v>
      </c>
      <c r="G195" s="1" t="str">
        <f>+VLOOKUP(B195,'producto terminado'!B:D,3,)</f>
        <v/>
      </c>
      <c r="H195" s="1">
        <f t="shared" si="2"/>
        <v>2</v>
      </c>
      <c r="I195" s="3">
        <f t="shared" si="3"/>
        <v>3000</v>
      </c>
    </row>
    <row r="196" ht="14.25" customHeight="1">
      <c r="A196" s="1" t="s">
        <v>20</v>
      </c>
      <c r="B196" s="1" t="s">
        <v>131</v>
      </c>
      <c r="C196" s="1" t="s">
        <v>10</v>
      </c>
      <c r="D196" s="1">
        <v>10.0</v>
      </c>
      <c r="E196" s="3">
        <v>1100.0</v>
      </c>
      <c r="F196" s="3">
        <f t="shared" si="1"/>
        <v>11000</v>
      </c>
      <c r="G196" s="1" t="str">
        <f>+VLOOKUP(B196,'producto terminado'!B:D,3,)</f>
        <v/>
      </c>
      <c r="H196" s="1">
        <f t="shared" si="2"/>
        <v>10</v>
      </c>
      <c r="I196" s="3">
        <f t="shared" si="3"/>
        <v>11000</v>
      </c>
    </row>
    <row r="197" ht="14.25" customHeight="1">
      <c r="A197" s="1" t="s">
        <v>20</v>
      </c>
      <c r="B197" s="1" t="s">
        <v>147</v>
      </c>
      <c r="C197" s="1" t="s">
        <v>10</v>
      </c>
      <c r="D197" s="1">
        <v>38.0</v>
      </c>
      <c r="E197" s="3">
        <v>1000.0</v>
      </c>
      <c r="F197" s="3">
        <f t="shared" si="1"/>
        <v>38000</v>
      </c>
      <c r="G197" s="1" t="str">
        <f>+VLOOKUP(B197,'producto terminado'!B:D,3,)</f>
        <v/>
      </c>
      <c r="H197" s="1">
        <f t="shared" si="2"/>
        <v>38</v>
      </c>
      <c r="I197" s="3">
        <f t="shared" si="3"/>
        <v>38000</v>
      </c>
    </row>
    <row r="198" ht="14.25" customHeight="1">
      <c r="A198" s="1" t="s">
        <v>20</v>
      </c>
      <c r="B198" s="1" t="s">
        <v>199</v>
      </c>
      <c r="C198" s="1" t="s">
        <v>140</v>
      </c>
      <c r="D198" s="1">
        <v>1.0</v>
      </c>
      <c r="E198" s="3">
        <v>1000.0</v>
      </c>
      <c r="F198" s="3">
        <f t="shared" si="1"/>
        <v>1000</v>
      </c>
      <c r="G198" s="1" t="str">
        <f>+VLOOKUP(B198,'producto terminado'!B:D,3,)</f>
        <v/>
      </c>
      <c r="H198" s="1">
        <f t="shared" si="2"/>
        <v>1</v>
      </c>
      <c r="I198" s="3">
        <f t="shared" si="3"/>
        <v>1000</v>
      </c>
    </row>
    <row r="199" ht="14.25" customHeight="1">
      <c r="A199" s="1" t="s">
        <v>20</v>
      </c>
      <c r="B199" s="1" t="s">
        <v>117</v>
      </c>
      <c r="C199" s="1" t="s">
        <v>13</v>
      </c>
      <c r="D199" s="1">
        <v>16.96</v>
      </c>
      <c r="E199" s="3">
        <v>913.0</v>
      </c>
      <c r="F199" s="3">
        <f t="shared" si="1"/>
        <v>15484.48</v>
      </c>
      <c r="G199" s="1" t="str">
        <f>+VLOOKUP(B199,'producto terminado'!B:D,3,)</f>
        <v/>
      </c>
      <c r="H199" s="1">
        <f t="shared" si="2"/>
        <v>16.96</v>
      </c>
      <c r="I199" s="3">
        <f t="shared" si="3"/>
        <v>15484.48</v>
      </c>
    </row>
    <row r="200" ht="14.25" customHeight="1">
      <c r="A200" s="1" t="s">
        <v>20</v>
      </c>
      <c r="B200" s="1" t="s">
        <v>127</v>
      </c>
      <c r="C200" s="1" t="s">
        <v>10</v>
      </c>
      <c r="D200" s="1">
        <v>43.0</v>
      </c>
      <c r="E200" s="3">
        <v>900.0</v>
      </c>
      <c r="F200" s="3">
        <f t="shared" si="1"/>
        <v>38700</v>
      </c>
      <c r="G200" s="1" t="str">
        <f>+VLOOKUP(B200,'producto terminado'!B:D,3,)</f>
        <v/>
      </c>
      <c r="H200" s="1">
        <f t="shared" si="2"/>
        <v>43</v>
      </c>
      <c r="I200" s="3">
        <f t="shared" si="3"/>
        <v>38700</v>
      </c>
    </row>
    <row r="201" ht="14.25" customHeight="1">
      <c r="A201" s="1" t="s">
        <v>20</v>
      </c>
      <c r="B201" s="1" t="s">
        <v>116</v>
      </c>
      <c r="C201" s="1" t="s">
        <v>13</v>
      </c>
      <c r="D201" s="1">
        <v>23.42</v>
      </c>
      <c r="E201" s="3">
        <v>800.0</v>
      </c>
      <c r="F201" s="3">
        <f t="shared" si="1"/>
        <v>18736</v>
      </c>
      <c r="G201" s="1" t="str">
        <f>+VLOOKUP(B201,'producto terminado'!B:D,3,)</f>
        <v/>
      </c>
      <c r="H201" s="1">
        <f t="shared" si="2"/>
        <v>23.42</v>
      </c>
      <c r="I201" s="3">
        <f t="shared" si="3"/>
        <v>18736</v>
      </c>
    </row>
    <row r="202" ht="14.25" customHeight="1">
      <c r="A202" s="1" t="s">
        <v>20</v>
      </c>
      <c r="B202" s="1" t="s">
        <v>188</v>
      </c>
      <c r="C202" s="1" t="s">
        <v>13</v>
      </c>
      <c r="D202" s="1">
        <v>2.54</v>
      </c>
      <c r="E202" s="3">
        <v>750.0</v>
      </c>
      <c r="F202" s="3">
        <f t="shared" si="1"/>
        <v>1905</v>
      </c>
      <c r="G202" s="1" t="str">
        <f>+VLOOKUP(B202,'producto terminado'!B:D,3,)</f>
        <v/>
      </c>
      <c r="H202" s="1">
        <f t="shared" si="2"/>
        <v>2.54</v>
      </c>
      <c r="I202" s="3">
        <f t="shared" si="3"/>
        <v>1905</v>
      </c>
    </row>
    <row r="203" ht="14.25" customHeight="1">
      <c r="A203" s="1" t="s">
        <v>20</v>
      </c>
      <c r="B203" s="1" t="s">
        <v>54</v>
      </c>
      <c r="C203" s="1" t="s">
        <v>13</v>
      </c>
      <c r="D203" s="1">
        <v>0.0</v>
      </c>
      <c r="E203" s="3">
        <v>639.0</v>
      </c>
      <c r="F203" s="3">
        <f t="shared" si="1"/>
        <v>0</v>
      </c>
      <c r="G203" s="1">
        <f>+VLOOKUP(B203,'producto terminado'!B:D,3,)</f>
        <v>4</v>
      </c>
      <c r="H203" s="1">
        <f t="shared" si="2"/>
        <v>4</v>
      </c>
      <c r="I203" s="3">
        <f t="shared" si="3"/>
        <v>2556</v>
      </c>
    </row>
    <row r="204" ht="14.25" customHeight="1">
      <c r="A204" s="1" t="s">
        <v>20</v>
      </c>
      <c r="B204" s="1" t="s">
        <v>141</v>
      </c>
      <c r="C204" s="1" t="s">
        <v>10</v>
      </c>
      <c r="D204" s="1">
        <v>10.0</v>
      </c>
      <c r="E204" s="3">
        <v>600.0</v>
      </c>
      <c r="F204" s="3">
        <f t="shared" si="1"/>
        <v>6000</v>
      </c>
      <c r="G204" s="1" t="str">
        <f>+VLOOKUP(B204,'producto terminado'!B:D,3,)</f>
        <v/>
      </c>
      <c r="H204" s="1">
        <f t="shared" si="2"/>
        <v>10</v>
      </c>
      <c r="I204" s="3">
        <f t="shared" si="3"/>
        <v>6000</v>
      </c>
    </row>
    <row r="205" ht="14.25" customHeight="1">
      <c r="A205" s="1" t="s">
        <v>20</v>
      </c>
      <c r="B205" s="1" t="s">
        <v>180</v>
      </c>
      <c r="C205" s="1" t="s">
        <v>10</v>
      </c>
      <c r="D205" s="1">
        <v>7.0</v>
      </c>
      <c r="E205" s="3">
        <v>600.0</v>
      </c>
      <c r="F205" s="3">
        <f t="shared" si="1"/>
        <v>4200</v>
      </c>
      <c r="G205" s="1" t="str">
        <f>+VLOOKUP(B205,'producto terminado'!B:D,3,)</f>
        <v/>
      </c>
      <c r="H205" s="1">
        <f t="shared" si="2"/>
        <v>7</v>
      </c>
      <c r="I205" s="3">
        <f t="shared" si="3"/>
        <v>4200</v>
      </c>
    </row>
    <row r="206" ht="14.25" customHeight="1">
      <c r="A206" s="1" t="s">
        <v>20</v>
      </c>
      <c r="B206" s="1" t="s">
        <v>151</v>
      </c>
      <c r="C206" s="1" t="s">
        <v>10</v>
      </c>
      <c r="D206" s="1">
        <v>8.0</v>
      </c>
      <c r="E206" s="3">
        <v>600.0</v>
      </c>
      <c r="F206" s="3">
        <f t="shared" si="1"/>
        <v>4800</v>
      </c>
      <c r="G206" s="1" t="str">
        <f>+VLOOKUP(B206,'producto terminado'!B:D,3,)</f>
        <v/>
      </c>
      <c r="H206" s="1">
        <f t="shared" si="2"/>
        <v>8</v>
      </c>
      <c r="I206" s="3">
        <f t="shared" si="3"/>
        <v>4800</v>
      </c>
    </row>
    <row r="207" ht="14.25" customHeight="1">
      <c r="A207" s="1" t="s">
        <v>20</v>
      </c>
      <c r="B207" s="1" t="s">
        <v>161</v>
      </c>
      <c r="C207" s="1" t="s">
        <v>10</v>
      </c>
      <c r="D207" s="1">
        <v>0.0</v>
      </c>
      <c r="E207" s="3">
        <v>550.0</v>
      </c>
      <c r="F207" s="3">
        <f t="shared" si="1"/>
        <v>0</v>
      </c>
      <c r="G207" s="1" t="str">
        <f>+VLOOKUP(B207,'producto terminado'!B:D,3,)</f>
        <v/>
      </c>
      <c r="H207" s="1">
        <f t="shared" si="2"/>
        <v>0</v>
      </c>
      <c r="I207" s="3">
        <f t="shared" si="3"/>
        <v>0</v>
      </c>
    </row>
    <row r="208" ht="14.25" customHeight="1">
      <c r="A208" s="1" t="s">
        <v>20</v>
      </c>
      <c r="B208" s="1" t="s">
        <v>58</v>
      </c>
      <c r="C208" s="1" t="s">
        <v>10</v>
      </c>
      <c r="D208" s="1">
        <v>0.0</v>
      </c>
      <c r="E208" s="3">
        <v>500.0</v>
      </c>
      <c r="F208" s="3">
        <f t="shared" si="1"/>
        <v>0</v>
      </c>
      <c r="G208" s="1">
        <f>+VLOOKUP(B208,'producto terminado'!B:D,3,)</f>
        <v>5</v>
      </c>
      <c r="H208" s="1">
        <f t="shared" si="2"/>
        <v>5</v>
      </c>
      <c r="I208" s="3">
        <f t="shared" si="3"/>
        <v>2500</v>
      </c>
    </row>
    <row r="209" ht="14.25" customHeight="1">
      <c r="A209" s="1" t="s">
        <v>20</v>
      </c>
      <c r="B209" s="1" t="s">
        <v>126</v>
      </c>
      <c r="C209" s="1" t="s">
        <v>10</v>
      </c>
      <c r="D209" s="1">
        <v>5.0</v>
      </c>
      <c r="E209" s="3">
        <v>500.0</v>
      </c>
      <c r="F209" s="3">
        <f t="shared" si="1"/>
        <v>2500</v>
      </c>
      <c r="G209" s="1" t="str">
        <f>+VLOOKUP(B209,'producto terminado'!B:D,3,)</f>
        <v/>
      </c>
      <c r="H209" s="1">
        <f t="shared" si="2"/>
        <v>5</v>
      </c>
      <c r="I209" s="3">
        <f t="shared" si="3"/>
        <v>2500</v>
      </c>
    </row>
    <row r="210" ht="14.25" customHeight="1">
      <c r="A210" s="1" t="s">
        <v>11</v>
      </c>
      <c r="B210" s="1" t="s">
        <v>248</v>
      </c>
      <c r="C210" s="1" t="s">
        <v>43</v>
      </c>
      <c r="D210" s="1">
        <v>1.0</v>
      </c>
      <c r="E210" s="3">
        <v>1630.0</v>
      </c>
      <c r="F210" s="3">
        <f t="shared" si="1"/>
        <v>1630</v>
      </c>
      <c r="H210" s="1">
        <f t="shared" si="2"/>
        <v>1</v>
      </c>
      <c r="I210" s="3">
        <f t="shared" si="3"/>
        <v>1630</v>
      </c>
    </row>
    <row r="211" ht="14.25" customHeight="1">
      <c r="A211" s="1" t="s">
        <v>48</v>
      </c>
      <c r="B211" s="1" t="s">
        <v>249</v>
      </c>
      <c r="C211" s="1" t="s">
        <v>13</v>
      </c>
      <c r="D211" s="1">
        <v>2.0</v>
      </c>
      <c r="E211" s="3">
        <v>4000.0</v>
      </c>
      <c r="F211" s="3">
        <f t="shared" si="1"/>
        <v>8000</v>
      </c>
      <c r="H211" s="1">
        <f t="shared" si="2"/>
        <v>2</v>
      </c>
      <c r="I211" s="3">
        <f t="shared" si="3"/>
        <v>8000</v>
      </c>
    </row>
    <row r="212" ht="14.25" customHeight="1">
      <c r="A212" s="1" t="s">
        <v>34</v>
      </c>
      <c r="B212" s="1" t="s">
        <v>250</v>
      </c>
      <c r="C212" s="1" t="s">
        <v>13</v>
      </c>
      <c r="D212" s="1">
        <v>1.0</v>
      </c>
      <c r="E212" s="3"/>
      <c r="F212" s="3"/>
      <c r="H212" s="1">
        <f t="shared" si="2"/>
        <v>1</v>
      </c>
      <c r="I212" s="3">
        <f t="shared" si="3"/>
        <v>0</v>
      </c>
    </row>
    <row r="213" ht="14.25" customHeight="1">
      <c r="A213" s="1" t="s">
        <v>17</v>
      </c>
      <c r="B213" s="1" t="s">
        <v>251</v>
      </c>
      <c r="C213" s="1" t="s">
        <v>13</v>
      </c>
      <c r="D213" s="1">
        <v>10.0</v>
      </c>
      <c r="E213" s="3">
        <v>7490.0</v>
      </c>
      <c r="F213" s="3"/>
      <c r="H213" s="1">
        <f t="shared" si="2"/>
        <v>10</v>
      </c>
      <c r="I213" s="3">
        <f t="shared" si="3"/>
        <v>74900</v>
      </c>
    </row>
    <row r="214" ht="14.25" customHeight="1">
      <c r="A214" s="1" t="s">
        <v>17</v>
      </c>
      <c r="B214" s="1" t="s">
        <v>252</v>
      </c>
      <c r="C214" s="1" t="s">
        <v>13</v>
      </c>
      <c r="D214" s="1">
        <v>31.17</v>
      </c>
      <c r="E214" s="3">
        <v>12900.0</v>
      </c>
      <c r="F214" s="3"/>
      <c r="H214" s="1">
        <f t="shared" si="2"/>
        <v>31.17</v>
      </c>
      <c r="I214" s="3">
        <f t="shared" si="3"/>
        <v>402093</v>
      </c>
    </row>
    <row r="215" ht="14.25" customHeight="1">
      <c r="A215" s="1" t="s">
        <v>17</v>
      </c>
      <c r="B215" s="1" t="s">
        <v>253</v>
      </c>
      <c r="C215" s="1" t="s">
        <v>13</v>
      </c>
      <c r="D215" s="1">
        <v>6.1</v>
      </c>
      <c r="E215" s="3">
        <v>4193.0</v>
      </c>
      <c r="F215" s="3"/>
      <c r="H215" s="1">
        <f t="shared" si="2"/>
        <v>6.1</v>
      </c>
      <c r="I215" s="3">
        <f t="shared" si="3"/>
        <v>25577.3</v>
      </c>
    </row>
    <row r="216" ht="14.25" customHeight="1">
      <c r="A216" s="1" t="s">
        <v>17</v>
      </c>
      <c r="B216" s="1" t="s">
        <v>254</v>
      </c>
      <c r="C216" s="1" t="s">
        <v>13</v>
      </c>
      <c r="D216" s="1">
        <v>50.3</v>
      </c>
      <c r="E216" s="3">
        <v>5637.0</v>
      </c>
      <c r="F216" s="3"/>
      <c r="H216" s="1">
        <f t="shared" si="2"/>
        <v>50.3</v>
      </c>
      <c r="I216" s="3">
        <f t="shared" si="3"/>
        <v>283541.1</v>
      </c>
    </row>
    <row r="217" ht="14.25" customHeight="1">
      <c r="A217" s="1" t="s">
        <v>38</v>
      </c>
      <c r="B217" s="1" t="s">
        <v>255</v>
      </c>
      <c r="C217" s="1" t="s">
        <v>10</v>
      </c>
      <c r="D217" s="1">
        <v>10.0</v>
      </c>
      <c r="E217" s="3">
        <v>517.0</v>
      </c>
      <c r="F217" s="3">
        <f t="shared" ref="F217:F228" si="4">+E217*D217</f>
        <v>5170</v>
      </c>
      <c r="G217" s="1">
        <v>5.0</v>
      </c>
      <c r="H217" s="1">
        <f t="shared" si="2"/>
        <v>15</v>
      </c>
      <c r="I217" s="3">
        <f t="shared" si="3"/>
        <v>7755</v>
      </c>
    </row>
    <row r="218" ht="14.25" customHeight="1">
      <c r="A218" s="1" t="s">
        <v>38</v>
      </c>
      <c r="B218" s="1" t="s">
        <v>256</v>
      </c>
      <c r="C218" s="1" t="s">
        <v>10</v>
      </c>
      <c r="D218" s="1">
        <v>13.0</v>
      </c>
      <c r="E218" s="3">
        <v>1471.0</v>
      </c>
      <c r="F218" s="3">
        <f t="shared" si="4"/>
        <v>19123</v>
      </c>
      <c r="G218" s="1">
        <v>2.0</v>
      </c>
      <c r="H218" s="1">
        <f t="shared" si="2"/>
        <v>15</v>
      </c>
      <c r="I218" s="3">
        <f t="shared" si="3"/>
        <v>22065</v>
      </c>
    </row>
    <row r="219" ht="14.25" customHeight="1">
      <c r="A219" s="1" t="s">
        <v>38</v>
      </c>
      <c r="B219" s="1" t="s">
        <v>257</v>
      </c>
      <c r="C219" s="1" t="s">
        <v>10</v>
      </c>
      <c r="D219" s="1">
        <v>6.0</v>
      </c>
      <c r="E219" s="3">
        <v>614.0</v>
      </c>
      <c r="F219" s="3">
        <f t="shared" si="4"/>
        <v>3684</v>
      </c>
      <c r="G219" s="1">
        <v>38.0</v>
      </c>
      <c r="H219" s="1">
        <f t="shared" si="2"/>
        <v>44</v>
      </c>
      <c r="I219" s="3">
        <f t="shared" si="3"/>
        <v>27016</v>
      </c>
    </row>
    <row r="220" ht="14.25" customHeight="1">
      <c r="A220" s="1" t="s">
        <v>38</v>
      </c>
      <c r="B220" s="1" t="s">
        <v>258</v>
      </c>
      <c r="C220" s="1" t="s">
        <v>10</v>
      </c>
      <c r="D220" s="1">
        <v>16.0</v>
      </c>
      <c r="E220" s="3">
        <v>1471.0</v>
      </c>
      <c r="F220" s="3">
        <f t="shared" si="4"/>
        <v>23536</v>
      </c>
      <c r="G220" s="1">
        <v>10.0</v>
      </c>
      <c r="H220" s="1">
        <f t="shared" si="2"/>
        <v>26</v>
      </c>
      <c r="I220" s="3">
        <f t="shared" si="3"/>
        <v>38246</v>
      </c>
    </row>
    <row r="221" ht="14.25" customHeight="1">
      <c r="A221" s="1" t="s">
        <v>38</v>
      </c>
      <c r="B221" s="1" t="s">
        <v>259</v>
      </c>
      <c r="C221" s="1" t="s">
        <v>10</v>
      </c>
      <c r="D221" s="1">
        <v>6.0</v>
      </c>
      <c r="E221" s="3">
        <v>614.0</v>
      </c>
      <c r="F221" s="3">
        <f t="shared" si="4"/>
        <v>3684</v>
      </c>
      <c r="G221" s="1">
        <v>17.0</v>
      </c>
      <c r="H221" s="1">
        <f t="shared" si="2"/>
        <v>23</v>
      </c>
      <c r="I221" s="3">
        <f t="shared" si="3"/>
        <v>14122</v>
      </c>
    </row>
    <row r="222" ht="14.25" customHeight="1">
      <c r="A222" s="1" t="s">
        <v>38</v>
      </c>
      <c r="B222" s="1" t="s">
        <v>260</v>
      </c>
      <c r="C222" s="1" t="s">
        <v>10</v>
      </c>
      <c r="D222" s="1">
        <v>19.0</v>
      </c>
      <c r="E222" s="3">
        <v>517.0</v>
      </c>
      <c r="F222" s="3">
        <f t="shared" si="4"/>
        <v>9823</v>
      </c>
      <c r="G222" s="1">
        <v>32.0</v>
      </c>
      <c r="H222" s="1">
        <f t="shared" si="2"/>
        <v>51</v>
      </c>
      <c r="I222" s="3">
        <f t="shared" si="3"/>
        <v>26367</v>
      </c>
    </row>
    <row r="223" ht="14.25" customHeight="1">
      <c r="A223" s="1" t="s">
        <v>38</v>
      </c>
      <c r="B223" s="1" t="s">
        <v>261</v>
      </c>
      <c r="C223" s="1" t="s">
        <v>10</v>
      </c>
      <c r="D223" s="1">
        <v>42.0</v>
      </c>
      <c r="E223" s="3">
        <v>517.0</v>
      </c>
      <c r="F223" s="3">
        <f t="shared" si="4"/>
        <v>21714</v>
      </c>
      <c r="G223" s="1">
        <v>34.0</v>
      </c>
      <c r="H223" s="1">
        <f t="shared" si="2"/>
        <v>76</v>
      </c>
      <c r="I223" s="3">
        <f t="shared" si="3"/>
        <v>39292</v>
      </c>
    </row>
    <row r="224" ht="14.25" customHeight="1">
      <c r="A224" s="1" t="s">
        <v>11</v>
      </c>
      <c r="B224" s="1" t="s">
        <v>262</v>
      </c>
      <c r="C224" s="1" t="s">
        <v>10</v>
      </c>
      <c r="D224" s="1">
        <v>57.0</v>
      </c>
      <c r="E224" s="3">
        <v>685.0</v>
      </c>
      <c r="F224" s="3">
        <f t="shared" si="4"/>
        <v>39045</v>
      </c>
      <c r="H224" s="1">
        <f t="shared" si="2"/>
        <v>57</v>
      </c>
      <c r="I224" s="3">
        <f t="shared" si="3"/>
        <v>39045</v>
      </c>
    </row>
    <row r="225" ht="14.25" customHeight="1">
      <c r="A225" s="1" t="s">
        <v>11</v>
      </c>
      <c r="B225" s="1" t="s">
        <v>263</v>
      </c>
      <c r="C225" s="1" t="s">
        <v>10</v>
      </c>
      <c r="D225" s="1">
        <v>1.0</v>
      </c>
      <c r="E225" s="3">
        <v>55400.0</v>
      </c>
      <c r="F225" s="3">
        <f t="shared" si="4"/>
        <v>55400</v>
      </c>
      <c r="H225" s="1">
        <f t="shared" si="2"/>
        <v>1</v>
      </c>
      <c r="I225" s="3">
        <f t="shared" si="3"/>
        <v>55400</v>
      </c>
    </row>
    <row r="226" ht="14.25" customHeight="1">
      <c r="A226" s="1" t="s">
        <v>11</v>
      </c>
      <c r="B226" s="1" t="s">
        <v>264</v>
      </c>
      <c r="C226" s="1" t="s">
        <v>10</v>
      </c>
      <c r="D226" s="1">
        <v>1.0</v>
      </c>
      <c r="E226" s="3">
        <v>137400.0</v>
      </c>
      <c r="F226" s="3">
        <f t="shared" si="4"/>
        <v>137400</v>
      </c>
      <c r="H226" s="1">
        <f t="shared" si="2"/>
        <v>1</v>
      </c>
      <c r="I226" s="3">
        <f t="shared" si="3"/>
        <v>137400</v>
      </c>
    </row>
    <row r="227" ht="14.25" customHeight="1">
      <c r="A227" s="1" t="s">
        <v>11</v>
      </c>
      <c r="B227" s="1" t="s">
        <v>265</v>
      </c>
      <c r="C227" s="1" t="s">
        <v>10</v>
      </c>
      <c r="D227" s="1">
        <v>1.0</v>
      </c>
      <c r="E227" s="3">
        <v>36300.0</v>
      </c>
      <c r="F227" s="3">
        <f t="shared" si="4"/>
        <v>36300</v>
      </c>
      <c r="H227" s="1">
        <f t="shared" si="2"/>
        <v>1</v>
      </c>
      <c r="I227" s="3">
        <f t="shared" si="3"/>
        <v>36300</v>
      </c>
    </row>
    <row r="228" ht="14.25" customHeight="1">
      <c r="A228" s="1" t="s">
        <v>11</v>
      </c>
      <c r="B228" s="1" t="s">
        <v>266</v>
      </c>
      <c r="C228" s="1" t="s">
        <v>10</v>
      </c>
      <c r="D228" s="1">
        <v>1.0</v>
      </c>
      <c r="E228" s="3">
        <v>39600.0</v>
      </c>
      <c r="F228" s="3">
        <f t="shared" si="4"/>
        <v>39600</v>
      </c>
      <c r="H228" s="1">
        <f t="shared" si="2"/>
        <v>1</v>
      </c>
      <c r="I228" s="3">
        <f t="shared" si="3"/>
        <v>39600</v>
      </c>
    </row>
    <row r="229" ht="14.25" customHeight="1">
      <c r="E229" s="3"/>
      <c r="F229" s="3"/>
    </row>
    <row r="230" ht="14.25" customHeight="1">
      <c r="E230" s="3"/>
      <c r="F230" s="3"/>
    </row>
    <row r="231" ht="14.25" customHeight="1">
      <c r="E231" s="3"/>
      <c r="F231" s="3"/>
    </row>
    <row r="232" ht="14.25" customHeight="1">
      <c r="E232" s="3"/>
      <c r="F232" s="3"/>
    </row>
    <row r="233" ht="14.25" customHeight="1">
      <c r="E233" s="3"/>
      <c r="F233" s="3"/>
    </row>
    <row r="234" ht="14.25" customHeight="1">
      <c r="E234" s="3"/>
      <c r="F234" s="3"/>
    </row>
    <row r="235" ht="14.25" customHeight="1">
      <c r="E235" s="3"/>
      <c r="F235" s="3"/>
    </row>
    <row r="236" ht="14.25" customHeight="1">
      <c r="E236" s="3"/>
      <c r="F236" s="3"/>
    </row>
    <row r="237" ht="14.25" customHeight="1">
      <c r="E237" s="3"/>
      <c r="F237" s="3"/>
    </row>
    <row r="238" ht="14.25" customHeight="1">
      <c r="E238" s="3"/>
      <c r="F238" s="3"/>
    </row>
    <row r="239" ht="14.25" customHeight="1">
      <c r="E239" s="3"/>
      <c r="F239" s="3"/>
    </row>
    <row r="240" ht="14.25" customHeight="1">
      <c r="E240" s="3"/>
      <c r="F240" s="3"/>
    </row>
    <row r="241" ht="14.25" customHeight="1">
      <c r="E241" s="3"/>
      <c r="F241" s="3"/>
    </row>
    <row r="242" ht="14.25" customHeight="1">
      <c r="E242" s="3"/>
      <c r="F242" s="3"/>
    </row>
    <row r="243" ht="14.25" customHeight="1">
      <c r="E243" s="3"/>
      <c r="F243" s="3"/>
    </row>
    <row r="244" ht="14.25" customHeight="1">
      <c r="E244" s="3"/>
      <c r="F244" s="3"/>
    </row>
    <row r="245" ht="14.25" customHeight="1">
      <c r="E245" s="3"/>
      <c r="F245" s="3"/>
    </row>
    <row r="246" ht="14.25" customHeight="1">
      <c r="E246" s="3"/>
      <c r="F246" s="3"/>
    </row>
    <row r="247" ht="14.25" customHeight="1">
      <c r="E247" s="3"/>
      <c r="F247" s="3"/>
    </row>
    <row r="248" ht="14.25" customHeight="1">
      <c r="E248" s="3"/>
      <c r="F248" s="3"/>
    </row>
    <row r="249" ht="14.25" customHeight="1">
      <c r="E249" s="3"/>
      <c r="F249" s="3"/>
    </row>
    <row r="250" ht="14.25" customHeight="1">
      <c r="E250" s="3"/>
      <c r="F250" s="3"/>
    </row>
    <row r="251" ht="14.25" customHeight="1">
      <c r="E251" s="3"/>
      <c r="F251" s="3"/>
    </row>
    <row r="252" ht="14.25" customHeight="1">
      <c r="E252" s="3"/>
      <c r="F252" s="3"/>
    </row>
    <row r="253" ht="14.25" customHeight="1">
      <c r="E253" s="3"/>
      <c r="F253" s="3"/>
    </row>
    <row r="254" ht="14.25" customHeight="1">
      <c r="E254" s="3"/>
      <c r="F254" s="3"/>
    </row>
    <row r="255" ht="14.25" customHeight="1">
      <c r="E255" s="3"/>
      <c r="F255" s="3"/>
    </row>
    <row r="256" ht="14.25" customHeight="1">
      <c r="E256" s="3"/>
      <c r="F256" s="3"/>
    </row>
    <row r="257" ht="14.25" customHeight="1">
      <c r="E257" s="3"/>
      <c r="F257" s="3"/>
    </row>
    <row r="258" ht="14.25" customHeight="1">
      <c r="E258" s="3"/>
      <c r="F258" s="3"/>
    </row>
    <row r="259" ht="14.25" customHeight="1">
      <c r="E259" s="3"/>
      <c r="F259" s="3"/>
    </row>
    <row r="260" ht="14.25" customHeight="1">
      <c r="E260" s="3"/>
      <c r="F260" s="3"/>
    </row>
    <row r="261" ht="14.25" customHeight="1">
      <c r="E261" s="3"/>
      <c r="F261" s="3"/>
    </row>
    <row r="262" ht="14.25" customHeight="1">
      <c r="E262" s="3"/>
      <c r="F262" s="3"/>
    </row>
    <row r="263" ht="14.25" customHeight="1">
      <c r="E263" s="3"/>
      <c r="F263" s="3"/>
    </row>
    <row r="264" ht="14.25" customHeight="1">
      <c r="E264" s="3"/>
      <c r="F264" s="3"/>
    </row>
    <row r="265" ht="14.25" customHeight="1">
      <c r="E265" s="3"/>
      <c r="F265" s="3"/>
    </row>
    <row r="266" ht="14.25" customHeight="1">
      <c r="E266" s="3"/>
      <c r="F266" s="3"/>
    </row>
    <row r="267" ht="14.25" customHeight="1">
      <c r="E267" s="3"/>
      <c r="F267" s="3"/>
    </row>
    <row r="268" ht="14.25" customHeight="1">
      <c r="E268" s="3"/>
      <c r="F268" s="3"/>
    </row>
    <row r="269" ht="14.25" customHeight="1">
      <c r="E269" s="3"/>
      <c r="F269" s="3"/>
    </row>
    <row r="270" ht="14.25" customHeight="1">
      <c r="E270" s="3"/>
      <c r="F270" s="3"/>
    </row>
    <row r="271" ht="14.25" customHeight="1">
      <c r="E271" s="3"/>
      <c r="F271" s="3"/>
    </row>
    <row r="272" ht="14.25" customHeight="1">
      <c r="E272" s="3"/>
      <c r="F272" s="3"/>
    </row>
    <row r="273" ht="14.25" customHeight="1">
      <c r="E273" s="3"/>
      <c r="F273" s="3"/>
    </row>
    <row r="274" ht="14.25" customHeight="1">
      <c r="E274" s="3"/>
      <c r="F274" s="3"/>
    </row>
    <row r="275" ht="14.25" customHeight="1">
      <c r="E275" s="3"/>
      <c r="F275" s="3"/>
    </row>
    <row r="276" ht="14.25" customHeight="1">
      <c r="E276" s="3"/>
      <c r="F276" s="3"/>
    </row>
    <row r="277" ht="14.25" customHeight="1">
      <c r="E277" s="3"/>
      <c r="F277" s="3"/>
    </row>
    <row r="278" ht="14.25" customHeight="1">
      <c r="E278" s="3"/>
      <c r="F278" s="3"/>
    </row>
    <row r="279" ht="14.25" customHeight="1">
      <c r="E279" s="3"/>
      <c r="F279" s="3"/>
    </row>
    <row r="280" ht="14.25" customHeight="1">
      <c r="E280" s="3"/>
      <c r="F280" s="3"/>
    </row>
    <row r="281" ht="14.25" customHeight="1">
      <c r="E281" s="3"/>
      <c r="F281" s="3"/>
    </row>
    <row r="282" ht="14.25" customHeight="1">
      <c r="E282" s="3"/>
      <c r="F282" s="3"/>
    </row>
    <row r="283" ht="14.25" customHeight="1">
      <c r="E283" s="3"/>
      <c r="F283" s="3"/>
    </row>
    <row r="284" ht="14.25" customHeight="1">
      <c r="E284" s="3"/>
      <c r="F284" s="3"/>
    </row>
    <row r="285" ht="14.25" customHeight="1">
      <c r="E285" s="3"/>
      <c r="F285" s="3"/>
    </row>
    <row r="286" ht="14.25" customHeight="1">
      <c r="E286" s="3"/>
      <c r="F286" s="3"/>
    </row>
    <row r="287" ht="14.25" customHeight="1">
      <c r="E287" s="3"/>
      <c r="F287" s="3"/>
    </row>
    <row r="288" ht="14.25" customHeight="1">
      <c r="E288" s="3"/>
      <c r="F288" s="3"/>
    </row>
    <row r="289" ht="14.25" customHeight="1">
      <c r="E289" s="3"/>
      <c r="F289" s="3"/>
    </row>
    <row r="290" ht="14.25" customHeight="1">
      <c r="E290" s="3"/>
      <c r="F290" s="3"/>
    </row>
    <row r="291" ht="14.25" customHeight="1">
      <c r="E291" s="3"/>
      <c r="F291" s="3"/>
    </row>
    <row r="292" ht="14.25" customHeight="1">
      <c r="E292" s="3"/>
      <c r="F292" s="3"/>
    </row>
    <row r="293" ht="14.25" customHeight="1">
      <c r="E293" s="3"/>
      <c r="F293" s="3"/>
    </row>
    <row r="294" ht="14.25" customHeight="1">
      <c r="E294" s="3"/>
      <c r="F294" s="3"/>
    </row>
    <row r="295" ht="14.25" customHeight="1">
      <c r="E295" s="3"/>
      <c r="F295" s="3"/>
    </row>
    <row r="296" ht="14.25" customHeight="1">
      <c r="E296" s="3"/>
      <c r="F296" s="3"/>
    </row>
    <row r="297" ht="14.25" customHeight="1">
      <c r="E297" s="3"/>
      <c r="F297" s="3"/>
    </row>
    <row r="298" ht="14.25" customHeight="1">
      <c r="E298" s="3"/>
      <c r="F298" s="3"/>
    </row>
    <row r="299" ht="14.25" customHeight="1">
      <c r="E299" s="3"/>
      <c r="F299" s="3"/>
    </row>
    <row r="300" ht="14.25" customHeight="1">
      <c r="E300" s="3"/>
      <c r="F300" s="3"/>
    </row>
    <row r="301" ht="14.25" customHeight="1">
      <c r="E301" s="3"/>
      <c r="F301" s="3"/>
    </row>
    <row r="302" ht="14.25" customHeight="1">
      <c r="E302" s="3"/>
      <c r="F302" s="3"/>
    </row>
    <row r="303" ht="14.25" customHeight="1">
      <c r="E303" s="3"/>
      <c r="F303" s="3"/>
    </row>
    <row r="304" ht="14.25" customHeight="1">
      <c r="E304" s="3"/>
      <c r="F304" s="3"/>
    </row>
    <row r="305" ht="14.25" customHeight="1">
      <c r="E305" s="3"/>
      <c r="F305" s="3"/>
    </row>
    <row r="306" ht="14.25" customHeight="1">
      <c r="E306" s="3"/>
      <c r="F306" s="3"/>
    </row>
    <row r="307" ht="14.25" customHeight="1">
      <c r="E307" s="3"/>
      <c r="F307" s="3"/>
    </row>
    <row r="308" ht="14.25" customHeight="1">
      <c r="E308" s="3"/>
      <c r="F308" s="3"/>
    </row>
    <row r="309" ht="14.25" customHeight="1">
      <c r="E309" s="3"/>
      <c r="F309" s="3"/>
    </row>
    <row r="310" ht="14.25" customHeight="1">
      <c r="E310" s="3"/>
      <c r="F310" s="3"/>
    </row>
    <row r="311" ht="14.25" customHeight="1">
      <c r="E311" s="3"/>
      <c r="F311" s="3"/>
    </row>
    <row r="312" ht="14.25" customHeight="1">
      <c r="E312" s="3"/>
      <c r="F312" s="3"/>
    </row>
    <row r="313" ht="14.25" customHeight="1">
      <c r="E313" s="3"/>
      <c r="F313" s="3"/>
    </row>
    <row r="314" ht="14.25" customHeight="1">
      <c r="E314" s="3"/>
      <c r="F314" s="3"/>
    </row>
    <row r="315" ht="14.25" customHeight="1">
      <c r="E315" s="3"/>
      <c r="F315" s="3"/>
    </row>
    <row r="316" ht="14.25" customHeight="1">
      <c r="E316" s="3"/>
      <c r="F316" s="3"/>
    </row>
    <row r="317" ht="14.25" customHeight="1">
      <c r="E317" s="3"/>
      <c r="F317" s="3"/>
    </row>
    <row r="318" ht="14.25" customHeight="1">
      <c r="E318" s="3"/>
      <c r="F318" s="3"/>
    </row>
    <row r="319" ht="14.25" customHeight="1">
      <c r="E319" s="3"/>
      <c r="F319" s="3"/>
    </row>
    <row r="320" ht="14.25" customHeight="1">
      <c r="E320" s="3"/>
      <c r="F320" s="3"/>
    </row>
    <row r="321" ht="14.25" customHeight="1">
      <c r="E321" s="3"/>
      <c r="F321" s="3"/>
    </row>
    <row r="322" ht="14.25" customHeight="1">
      <c r="E322" s="3"/>
      <c r="F322" s="3"/>
    </row>
    <row r="323" ht="14.25" customHeight="1">
      <c r="E323" s="3"/>
      <c r="F323" s="3"/>
    </row>
    <row r="324" ht="14.25" customHeight="1">
      <c r="E324" s="3"/>
      <c r="F324" s="3"/>
    </row>
    <row r="325" ht="14.25" customHeight="1">
      <c r="E325" s="3"/>
      <c r="F325" s="3"/>
    </row>
    <row r="326" ht="14.25" customHeight="1">
      <c r="E326" s="3"/>
      <c r="F326" s="3"/>
    </row>
    <row r="327" ht="14.25" customHeight="1">
      <c r="E327" s="3"/>
      <c r="F327" s="3"/>
    </row>
    <row r="328" ht="14.25" customHeight="1">
      <c r="E328" s="3"/>
      <c r="F328" s="3"/>
    </row>
    <row r="329" ht="14.25" customHeight="1">
      <c r="E329" s="3"/>
      <c r="F329" s="3"/>
    </row>
    <row r="330" ht="14.25" customHeight="1">
      <c r="E330" s="3"/>
      <c r="F330" s="3"/>
    </row>
    <row r="331" ht="14.25" customHeight="1">
      <c r="E331" s="3"/>
      <c r="F331" s="3"/>
    </row>
    <row r="332" ht="14.25" customHeight="1">
      <c r="E332" s="3"/>
      <c r="F332" s="3"/>
    </row>
    <row r="333" ht="14.25" customHeight="1">
      <c r="E333" s="3"/>
      <c r="F333" s="3"/>
    </row>
    <row r="334" ht="14.25" customHeight="1">
      <c r="E334" s="3"/>
      <c r="F334" s="3"/>
    </row>
    <row r="335" ht="14.25" customHeight="1">
      <c r="E335" s="3"/>
      <c r="F335" s="3"/>
    </row>
    <row r="336" ht="14.25" customHeight="1">
      <c r="E336" s="3"/>
      <c r="F336" s="3"/>
    </row>
    <row r="337" ht="14.25" customHeight="1">
      <c r="E337" s="3"/>
      <c r="F337" s="3"/>
    </row>
    <row r="338" ht="14.25" customHeight="1">
      <c r="E338" s="3"/>
      <c r="F338" s="3"/>
    </row>
    <row r="339" ht="14.25" customHeight="1">
      <c r="E339" s="3"/>
      <c r="F339" s="3"/>
    </row>
    <row r="340" ht="14.25" customHeight="1">
      <c r="E340" s="3"/>
      <c r="F340" s="3"/>
    </row>
    <row r="341" ht="14.25" customHeight="1">
      <c r="E341" s="3"/>
      <c r="F341" s="3"/>
    </row>
    <row r="342" ht="14.25" customHeight="1">
      <c r="E342" s="3"/>
      <c r="F342" s="3"/>
    </row>
    <row r="343" ht="14.25" customHeight="1">
      <c r="E343" s="3"/>
      <c r="F343" s="3"/>
    </row>
    <row r="344" ht="14.25" customHeight="1">
      <c r="E344" s="3"/>
      <c r="F344" s="3"/>
    </row>
    <row r="345" ht="14.25" customHeight="1">
      <c r="E345" s="3"/>
      <c r="F345" s="3"/>
    </row>
    <row r="346" ht="14.25" customHeight="1">
      <c r="E346" s="3"/>
      <c r="F346" s="3"/>
    </row>
    <row r="347" ht="14.25" customHeight="1">
      <c r="E347" s="3"/>
      <c r="F347" s="3"/>
    </row>
    <row r="348" ht="14.25" customHeight="1">
      <c r="E348" s="3"/>
      <c r="F348" s="3"/>
    </row>
    <row r="349" ht="14.25" customHeight="1">
      <c r="E349" s="3"/>
      <c r="F349" s="3"/>
    </row>
    <row r="350" ht="14.25" customHeight="1">
      <c r="E350" s="3"/>
      <c r="F350" s="3"/>
    </row>
    <row r="351" ht="14.25" customHeight="1">
      <c r="E351" s="3"/>
      <c r="F351" s="3"/>
    </row>
    <row r="352" ht="14.25" customHeight="1">
      <c r="E352" s="3"/>
      <c r="F352" s="3"/>
    </row>
    <row r="353" ht="14.25" customHeight="1">
      <c r="E353" s="3"/>
      <c r="F353" s="3"/>
    </row>
    <row r="354" ht="14.25" customHeight="1">
      <c r="E354" s="3"/>
      <c r="F354" s="3"/>
    </row>
    <row r="355" ht="14.25" customHeight="1">
      <c r="E355" s="3"/>
      <c r="F355" s="3"/>
    </row>
    <row r="356" ht="14.25" customHeight="1">
      <c r="E356" s="3"/>
      <c r="F356" s="3"/>
    </row>
    <row r="357" ht="14.25" customHeight="1">
      <c r="E357" s="3"/>
      <c r="F357" s="3"/>
    </row>
    <row r="358" ht="14.25" customHeight="1">
      <c r="E358" s="3"/>
      <c r="F358" s="3"/>
    </row>
    <row r="359" ht="14.25" customHeight="1">
      <c r="E359" s="3"/>
      <c r="F359" s="3"/>
    </row>
    <row r="360" ht="14.25" customHeight="1">
      <c r="E360" s="3"/>
      <c r="F360" s="3"/>
    </row>
    <row r="361" ht="14.25" customHeight="1">
      <c r="E361" s="3"/>
      <c r="F361" s="3"/>
    </row>
    <row r="362" ht="14.25" customHeight="1">
      <c r="E362" s="3"/>
      <c r="F362" s="3"/>
    </row>
    <row r="363" ht="14.25" customHeight="1">
      <c r="E363" s="3"/>
      <c r="F363" s="3"/>
    </row>
    <row r="364" ht="14.25" customHeight="1">
      <c r="E364" s="3"/>
      <c r="F364" s="3"/>
    </row>
    <row r="365" ht="14.25" customHeight="1">
      <c r="E365" s="3"/>
      <c r="F365" s="3"/>
    </row>
    <row r="366" ht="14.25" customHeight="1">
      <c r="E366" s="3"/>
      <c r="F366" s="3"/>
    </row>
    <row r="367" ht="14.25" customHeight="1">
      <c r="E367" s="3"/>
      <c r="F367" s="3"/>
    </row>
    <row r="368" ht="14.25" customHeight="1">
      <c r="E368" s="3"/>
      <c r="F368" s="3"/>
    </row>
    <row r="369" ht="14.25" customHeight="1">
      <c r="E369" s="3"/>
      <c r="F369" s="3"/>
    </row>
    <row r="370" ht="14.25" customHeight="1">
      <c r="E370" s="3"/>
      <c r="F370" s="3"/>
    </row>
    <row r="371" ht="14.25" customHeight="1">
      <c r="E371" s="3"/>
      <c r="F371" s="3"/>
    </row>
    <row r="372" ht="14.25" customHeight="1">
      <c r="E372" s="3"/>
      <c r="F372" s="3"/>
    </row>
    <row r="373" ht="14.25" customHeight="1">
      <c r="E373" s="3"/>
      <c r="F373" s="3"/>
    </row>
    <row r="374" ht="14.25" customHeight="1">
      <c r="E374" s="3"/>
      <c r="F374" s="3"/>
    </row>
    <row r="375" ht="14.25" customHeight="1">
      <c r="E375" s="3"/>
      <c r="F375" s="3"/>
    </row>
    <row r="376" ht="14.25" customHeight="1">
      <c r="E376" s="3"/>
      <c r="F376" s="3"/>
    </row>
    <row r="377" ht="14.25" customHeight="1">
      <c r="E377" s="3"/>
      <c r="F377" s="3"/>
    </row>
    <row r="378" ht="14.25" customHeight="1">
      <c r="E378" s="3"/>
      <c r="F378" s="3"/>
    </row>
    <row r="379" ht="14.25" customHeight="1">
      <c r="E379" s="3"/>
      <c r="F379" s="3"/>
    </row>
    <row r="380" ht="14.25" customHeight="1">
      <c r="E380" s="3"/>
      <c r="F380" s="3"/>
    </row>
    <row r="381" ht="14.25" customHeight="1">
      <c r="E381" s="3"/>
      <c r="F381" s="3"/>
    </row>
    <row r="382" ht="14.25" customHeight="1">
      <c r="E382" s="3"/>
      <c r="F382" s="3"/>
    </row>
    <row r="383" ht="14.25" customHeight="1">
      <c r="E383" s="3"/>
      <c r="F383" s="3"/>
    </row>
    <row r="384" ht="14.25" customHeight="1">
      <c r="E384" s="3"/>
      <c r="F384" s="3"/>
    </row>
    <row r="385" ht="14.25" customHeight="1">
      <c r="E385" s="3"/>
      <c r="F385" s="3"/>
    </row>
    <row r="386" ht="14.25" customHeight="1">
      <c r="E386" s="3"/>
      <c r="F386" s="3"/>
    </row>
    <row r="387" ht="14.25" customHeight="1">
      <c r="E387" s="3"/>
      <c r="F387" s="3"/>
    </row>
    <row r="388" ht="14.25" customHeight="1">
      <c r="E388" s="3"/>
      <c r="F388" s="3"/>
    </row>
    <row r="389" ht="14.25" customHeight="1">
      <c r="E389" s="3"/>
      <c r="F389" s="3"/>
    </row>
    <row r="390" ht="14.25" customHeight="1">
      <c r="E390" s="3"/>
      <c r="F390" s="3"/>
    </row>
    <row r="391" ht="14.25" customHeight="1">
      <c r="E391" s="3"/>
      <c r="F391" s="3"/>
    </row>
    <row r="392" ht="14.25" customHeight="1">
      <c r="E392" s="3"/>
      <c r="F392" s="3"/>
    </row>
    <row r="393" ht="14.25" customHeight="1">
      <c r="E393" s="3"/>
      <c r="F393" s="3"/>
    </row>
    <row r="394" ht="14.25" customHeight="1">
      <c r="E394" s="3"/>
      <c r="F394" s="3"/>
    </row>
    <row r="395" ht="14.25" customHeight="1">
      <c r="E395" s="3"/>
      <c r="F395" s="3"/>
    </row>
    <row r="396" ht="14.25" customHeight="1">
      <c r="E396" s="3"/>
      <c r="F396" s="3"/>
    </row>
    <row r="397" ht="14.25" customHeight="1">
      <c r="E397" s="3"/>
      <c r="F397" s="3"/>
    </row>
    <row r="398" ht="14.25" customHeight="1">
      <c r="E398" s="3"/>
      <c r="F398" s="3"/>
    </row>
    <row r="399" ht="14.25" customHeight="1">
      <c r="E399" s="3"/>
      <c r="F399" s="3"/>
    </row>
    <row r="400" ht="14.25" customHeight="1">
      <c r="E400" s="3"/>
      <c r="F400" s="3"/>
    </row>
    <row r="401" ht="14.25" customHeight="1">
      <c r="E401" s="3"/>
      <c r="F401" s="3"/>
    </row>
    <row r="402" ht="14.25" customHeight="1">
      <c r="E402" s="3"/>
      <c r="F402" s="3"/>
    </row>
    <row r="403" ht="14.25" customHeight="1">
      <c r="E403" s="3"/>
      <c r="F403" s="3"/>
    </row>
    <row r="404" ht="14.25" customHeight="1">
      <c r="E404" s="3"/>
      <c r="F404" s="3"/>
    </row>
    <row r="405" ht="14.25" customHeight="1">
      <c r="E405" s="3"/>
      <c r="F405" s="3"/>
    </row>
    <row r="406" ht="14.25" customHeight="1">
      <c r="E406" s="3"/>
      <c r="F406" s="3"/>
    </row>
    <row r="407" ht="14.25" customHeight="1">
      <c r="E407" s="3"/>
      <c r="F407" s="3"/>
    </row>
    <row r="408" ht="14.25" customHeight="1">
      <c r="E408" s="3"/>
      <c r="F408" s="3"/>
    </row>
    <row r="409" ht="14.25" customHeight="1">
      <c r="E409" s="3"/>
      <c r="F409" s="3"/>
    </row>
    <row r="410" ht="14.25" customHeight="1">
      <c r="E410" s="3"/>
      <c r="F410" s="3"/>
    </row>
    <row r="411" ht="14.25" customHeight="1">
      <c r="E411" s="3"/>
      <c r="F411" s="3"/>
    </row>
    <row r="412" ht="14.25" customHeight="1">
      <c r="E412" s="3"/>
      <c r="F412" s="3"/>
    </row>
    <row r="413" ht="14.25" customHeight="1">
      <c r="E413" s="3"/>
      <c r="F413" s="3"/>
    </row>
    <row r="414" ht="14.25" customHeight="1">
      <c r="E414" s="3"/>
      <c r="F414" s="3"/>
    </row>
    <row r="415" ht="14.25" customHeight="1">
      <c r="E415" s="3"/>
      <c r="F415" s="3"/>
    </row>
    <row r="416" ht="14.25" customHeight="1">
      <c r="E416" s="3"/>
      <c r="F416" s="3"/>
    </row>
    <row r="417" ht="14.25" customHeight="1">
      <c r="E417" s="3"/>
      <c r="F417" s="3"/>
    </row>
    <row r="418" ht="14.25" customHeight="1">
      <c r="E418" s="3"/>
      <c r="F418" s="3"/>
    </row>
    <row r="419" ht="14.25" customHeight="1">
      <c r="E419" s="3"/>
      <c r="F419" s="3"/>
    </row>
    <row r="420" ht="14.25" customHeight="1">
      <c r="E420" s="3"/>
      <c r="F420" s="3"/>
    </row>
    <row r="421" ht="14.25" customHeight="1">
      <c r="E421" s="3"/>
      <c r="F421" s="3"/>
    </row>
    <row r="422" ht="14.25" customHeight="1">
      <c r="E422" s="3"/>
      <c r="F422" s="3"/>
    </row>
    <row r="423" ht="14.25" customHeight="1">
      <c r="E423" s="3"/>
      <c r="F423" s="3"/>
    </row>
    <row r="424" ht="14.25" customHeight="1">
      <c r="E424" s="3"/>
      <c r="F424" s="3"/>
    </row>
    <row r="425" ht="14.25" customHeight="1">
      <c r="E425" s="3"/>
      <c r="F425" s="3"/>
    </row>
    <row r="426" ht="14.25" customHeight="1">
      <c r="E426" s="3"/>
      <c r="F426" s="3"/>
    </row>
    <row r="427" ht="14.25" customHeight="1">
      <c r="E427" s="3"/>
      <c r="F427" s="3"/>
    </row>
    <row r="428" ht="14.25" customHeight="1">
      <c r="E428" s="3"/>
      <c r="F428" s="3"/>
    </row>
    <row r="429" ht="14.25" customHeight="1">
      <c r="E429" s="3"/>
      <c r="F429" s="3"/>
    </row>
    <row r="430" ht="14.25" customHeight="1">
      <c r="E430" s="3"/>
      <c r="F430" s="3"/>
    </row>
    <row r="431" ht="14.25" customHeight="1">
      <c r="E431" s="3"/>
      <c r="F431" s="3"/>
    </row>
    <row r="432" ht="14.25" customHeight="1">
      <c r="E432" s="3"/>
      <c r="F432" s="3"/>
    </row>
    <row r="433" ht="14.25" customHeight="1">
      <c r="E433" s="3"/>
      <c r="F433" s="3"/>
    </row>
    <row r="434" ht="14.25" customHeight="1">
      <c r="E434" s="3"/>
      <c r="F434" s="3"/>
    </row>
    <row r="435" ht="14.25" customHeight="1">
      <c r="E435" s="3"/>
      <c r="F435" s="3"/>
    </row>
    <row r="436" ht="14.25" customHeight="1">
      <c r="E436" s="3"/>
      <c r="F436" s="3"/>
    </row>
    <row r="437" ht="14.25" customHeight="1">
      <c r="E437" s="3"/>
      <c r="F437" s="3"/>
    </row>
    <row r="438" ht="14.25" customHeight="1">
      <c r="E438" s="3"/>
      <c r="F438" s="3"/>
    </row>
    <row r="439" ht="14.25" customHeight="1">
      <c r="E439" s="3"/>
      <c r="F439" s="3"/>
    </row>
    <row r="440" ht="14.25" customHeight="1">
      <c r="E440" s="3"/>
      <c r="F440" s="3"/>
    </row>
    <row r="441" ht="14.25" customHeight="1">
      <c r="E441" s="3"/>
      <c r="F441" s="3"/>
    </row>
    <row r="442" ht="14.25" customHeight="1">
      <c r="E442" s="3"/>
      <c r="F442" s="3"/>
    </row>
    <row r="443" ht="14.25" customHeight="1">
      <c r="E443" s="3"/>
      <c r="F443" s="3"/>
    </row>
    <row r="444" ht="14.25" customHeight="1">
      <c r="E444" s="3"/>
      <c r="F444" s="3"/>
    </row>
    <row r="445" ht="14.25" customHeight="1">
      <c r="E445" s="3"/>
      <c r="F445" s="3"/>
    </row>
    <row r="446" ht="14.25" customHeight="1">
      <c r="E446" s="3"/>
      <c r="F446" s="3"/>
    </row>
    <row r="447" ht="14.25" customHeight="1">
      <c r="E447" s="3"/>
      <c r="F447" s="3"/>
    </row>
    <row r="448" ht="14.25" customHeight="1">
      <c r="E448" s="3"/>
      <c r="F448" s="3"/>
    </row>
    <row r="449" ht="14.25" customHeight="1">
      <c r="E449" s="3"/>
      <c r="F449" s="3"/>
    </row>
    <row r="450" ht="14.25" customHeight="1">
      <c r="E450" s="3"/>
      <c r="F450" s="3"/>
    </row>
    <row r="451" ht="14.25" customHeight="1">
      <c r="E451" s="3"/>
      <c r="F451" s="3"/>
    </row>
    <row r="452" ht="14.25" customHeight="1">
      <c r="E452" s="3"/>
      <c r="F452" s="3"/>
    </row>
    <row r="453" ht="14.25" customHeight="1">
      <c r="E453" s="3"/>
      <c r="F453" s="3"/>
    </row>
    <row r="454" ht="14.25" customHeight="1">
      <c r="E454" s="3"/>
      <c r="F454" s="3"/>
    </row>
    <row r="455" ht="14.25" customHeight="1">
      <c r="E455" s="3"/>
      <c r="F455" s="3"/>
    </row>
    <row r="456" ht="14.25" customHeight="1">
      <c r="E456" s="3"/>
      <c r="F456" s="3"/>
    </row>
    <row r="457" ht="14.25" customHeight="1">
      <c r="E457" s="3"/>
      <c r="F457" s="3"/>
    </row>
    <row r="458" ht="14.25" customHeight="1">
      <c r="E458" s="3"/>
      <c r="F458" s="3"/>
    </row>
    <row r="459" ht="14.25" customHeight="1">
      <c r="E459" s="3"/>
      <c r="F459" s="3"/>
    </row>
    <row r="460" ht="14.25" customHeight="1">
      <c r="E460" s="3"/>
      <c r="F460" s="3"/>
    </row>
    <row r="461" ht="14.25" customHeight="1">
      <c r="E461" s="3"/>
      <c r="F461" s="3"/>
    </row>
    <row r="462" ht="14.25" customHeight="1">
      <c r="E462" s="3"/>
      <c r="F462" s="3"/>
    </row>
    <row r="463" ht="14.25" customHeight="1">
      <c r="E463" s="3"/>
      <c r="F463" s="3"/>
    </row>
    <row r="464" ht="14.25" customHeight="1">
      <c r="E464" s="3"/>
      <c r="F464" s="3"/>
    </row>
    <row r="465" ht="14.25" customHeight="1">
      <c r="E465" s="3"/>
      <c r="F465" s="3"/>
    </row>
    <row r="466" ht="14.25" customHeight="1">
      <c r="E466" s="3"/>
      <c r="F466" s="3"/>
    </row>
    <row r="467" ht="14.25" customHeight="1">
      <c r="E467" s="3"/>
      <c r="F467" s="3"/>
    </row>
    <row r="468" ht="14.25" customHeight="1">
      <c r="E468" s="3"/>
      <c r="F468" s="3"/>
    </row>
    <row r="469" ht="14.25" customHeight="1">
      <c r="E469" s="3"/>
      <c r="F469" s="3"/>
    </row>
    <row r="470" ht="14.25" customHeight="1">
      <c r="E470" s="3"/>
      <c r="F470" s="3"/>
    </row>
    <row r="471" ht="14.25" customHeight="1">
      <c r="E471" s="3"/>
      <c r="F471" s="3"/>
    </row>
    <row r="472" ht="14.25" customHeight="1">
      <c r="E472" s="3"/>
      <c r="F472" s="3"/>
    </row>
    <row r="473" ht="14.25" customHeight="1">
      <c r="E473" s="3"/>
      <c r="F473" s="3"/>
    </row>
    <row r="474" ht="14.25" customHeight="1">
      <c r="E474" s="3"/>
      <c r="F474" s="3"/>
    </row>
    <row r="475" ht="14.25" customHeight="1">
      <c r="E475" s="3"/>
      <c r="F475" s="3"/>
    </row>
    <row r="476" ht="14.25" customHeight="1">
      <c r="E476" s="3"/>
      <c r="F476" s="3"/>
    </row>
    <row r="477" ht="14.25" customHeight="1">
      <c r="E477" s="3"/>
      <c r="F477" s="3"/>
    </row>
    <row r="478" ht="14.25" customHeight="1">
      <c r="E478" s="3"/>
      <c r="F478" s="3"/>
    </row>
    <row r="479" ht="14.25" customHeight="1">
      <c r="E479" s="3"/>
      <c r="F479" s="3"/>
    </row>
    <row r="480" ht="14.25" customHeight="1">
      <c r="E480" s="3"/>
      <c r="F480" s="3"/>
    </row>
    <row r="481" ht="14.25" customHeight="1">
      <c r="E481" s="3"/>
      <c r="F481" s="3"/>
    </row>
    <row r="482" ht="14.25" customHeight="1">
      <c r="E482" s="3"/>
      <c r="F482" s="3"/>
    </row>
    <row r="483" ht="14.25" customHeight="1">
      <c r="E483" s="3"/>
      <c r="F483" s="3"/>
    </row>
    <row r="484" ht="14.25" customHeight="1">
      <c r="E484" s="3"/>
      <c r="F484" s="3"/>
    </row>
    <row r="485" ht="14.25" customHeight="1">
      <c r="E485" s="3"/>
      <c r="F485" s="3"/>
    </row>
    <row r="486" ht="14.25" customHeight="1">
      <c r="E486" s="3"/>
      <c r="F486" s="3"/>
    </row>
    <row r="487" ht="14.25" customHeight="1">
      <c r="E487" s="3"/>
      <c r="F487" s="3"/>
    </row>
    <row r="488" ht="14.25" customHeight="1">
      <c r="E488" s="3"/>
      <c r="F488" s="3"/>
    </row>
    <row r="489" ht="14.25" customHeight="1">
      <c r="E489" s="3"/>
      <c r="F489" s="3"/>
    </row>
    <row r="490" ht="14.25" customHeight="1">
      <c r="E490" s="3"/>
      <c r="F490" s="3"/>
    </row>
    <row r="491" ht="14.25" customHeight="1">
      <c r="E491" s="3"/>
      <c r="F491" s="3"/>
    </row>
    <row r="492" ht="14.25" customHeight="1">
      <c r="E492" s="3"/>
      <c r="F492" s="3"/>
    </row>
    <row r="493" ht="14.25" customHeight="1">
      <c r="E493" s="3"/>
      <c r="F493" s="3"/>
    </row>
    <row r="494" ht="14.25" customHeight="1">
      <c r="E494" s="3"/>
      <c r="F494" s="3"/>
    </row>
    <row r="495" ht="14.25" customHeight="1">
      <c r="E495" s="3"/>
      <c r="F495" s="3"/>
    </row>
    <row r="496" ht="14.25" customHeight="1">
      <c r="E496" s="3"/>
      <c r="F496" s="3"/>
    </row>
    <row r="497" ht="14.25" customHeight="1">
      <c r="E497" s="3"/>
      <c r="F497" s="3"/>
    </row>
    <row r="498" ht="14.25" customHeight="1">
      <c r="E498" s="3"/>
      <c r="F498" s="3"/>
    </row>
    <row r="499" ht="14.25" customHeight="1">
      <c r="E499" s="3"/>
      <c r="F499" s="3"/>
    </row>
    <row r="500" ht="14.25" customHeight="1">
      <c r="E500" s="3"/>
      <c r="F500" s="3"/>
    </row>
    <row r="501" ht="14.25" customHeight="1">
      <c r="E501" s="3"/>
      <c r="F501" s="3"/>
    </row>
    <row r="502" ht="14.25" customHeight="1">
      <c r="E502" s="3"/>
      <c r="F502" s="3"/>
    </row>
    <row r="503" ht="14.25" customHeight="1">
      <c r="E503" s="3"/>
      <c r="F503" s="3"/>
    </row>
    <row r="504" ht="14.25" customHeight="1">
      <c r="E504" s="3"/>
      <c r="F504" s="3"/>
    </row>
    <row r="505" ht="14.25" customHeight="1">
      <c r="E505" s="3"/>
      <c r="F505" s="3"/>
    </row>
    <row r="506" ht="14.25" customHeight="1">
      <c r="E506" s="3"/>
      <c r="F506" s="3"/>
    </row>
    <row r="507" ht="14.25" customHeight="1">
      <c r="E507" s="3"/>
      <c r="F507" s="3"/>
    </row>
    <row r="508" ht="14.25" customHeight="1">
      <c r="E508" s="3"/>
      <c r="F508" s="3"/>
    </row>
    <row r="509" ht="14.25" customHeight="1">
      <c r="E509" s="3"/>
      <c r="F509" s="3"/>
    </row>
    <row r="510" ht="14.25" customHeight="1">
      <c r="E510" s="3"/>
      <c r="F510" s="3"/>
    </row>
    <row r="511" ht="14.25" customHeight="1">
      <c r="E511" s="3"/>
      <c r="F511" s="3"/>
    </row>
    <row r="512" ht="14.25" customHeight="1">
      <c r="E512" s="3"/>
      <c r="F512" s="3"/>
    </row>
    <row r="513" ht="14.25" customHeight="1">
      <c r="E513" s="3"/>
      <c r="F513" s="3"/>
    </row>
    <row r="514" ht="14.25" customHeight="1">
      <c r="E514" s="3"/>
      <c r="F514" s="3"/>
    </row>
    <row r="515" ht="14.25" customHeight="1">
      <c r="E515" s="3"/>
      <c r="F515" s="3"/>
    </row>
    <row r="516" ht="14.25" customHeight="1">
      <c r="E516" s="3"/>
      <c r="F516" s="3"/>
    </row>
    <row r="517" ht="14.25" customHeight="1">
      <c r="E517" s="3"/>
      <c r="F517" s="3"/>
    </row>
    <row r="518" ht="14.25" customHeight="1">
      <c r="E518" s="3"/>
      <c r="F518" s="3"/>
    </row>
    <row r="519" ht="14.25" customHeight="1">
      <c r="E519" s="3"/>
      <c r="F519" s="3"/>
    </row>
    <row r="520" ht="14.25" customHeight="1">
      <c r="E520" s="3"/>
      <c r="F520" s="3"/>
    </row>
    <row r="521" ht="14.25" customHeight="1">
      <c r="E521" s="3"/>
      <c r="F521" s="3"/>
    </row>
    <row r="522" ht="14.25" customHeight="1">
      <c r="E522" s="3"/>
      <c r="F522" s="3"/>
    </row>
    <row r="523" ht="14.25" customHeight="1">
      <c r="E523" s="3"/>
      <c r="F523" s="3"/>
    </row>
    <row r="524" ht="14.25" customHeight="1">
      <c r="E524" s="3"/>
      <c r="F524" s="3"/>
    </row>
    <row r="525" ht="14.25" customHeight="1">
      <c r="E525" s="3"/>
      <c r="F525" s="3"/>
    </row>
    <row r="526" ht="14.25" customHeight="1">
      <c r="E526" s="3"/>
      <c r="F526" s="3"/>
    </row>
    <row r="527" ht="14.25" customHeight="1">
      <c r="E527" s="3"/>
      <c r="F527" s="3"/>
    </row>
    <row r="528" ht="14.25" customHeight="1">
      <c r="E528" s="3"/>
      <c r="F528" s="3"/>
    </row>
    <row r="529" ht="14.25" customHeight="1">
      <c r="E529" s="3"/>
      <c r="F529" s="3"/>
    </row>
    <row r="530" ht="14.25" customHeight="1">
      <c r="E530" s="3"/>
      <c r="F530" s="3"/>
    </row>
    <row r="531" ht="14.25" customHeight="1">
      <c r="E531" s="3"/>
      <c r="F531" s="3"/>
    </row>
    <row r="532" ht="14.25" customHeight="1">
      <c r="E532" s="3"/>
      <c r="F532" s="3"/>
    </row>
    <row r="533" ht="14.25" customHeight="1">
      <c r="E533" s="3"/>
      <c r="F533" s="3"/>
    </row>
    <row r="534" ht="14.25" customHeight="1">
      <c r="E534" s="3"/>
      <c r="F534" s="3"/>
    </row>
    <row r="535" ht="14.25" customHeight="1">
      <c r="E535" s="3"/>
      <c r="F535" s="3"/>
    </row>
    <row r="536" ht="14.25" customHeight="1">
      <c r="E536" s="3"/>
      <c r="F536" s="3"/>
    </row>
    <row r="537" ht="14.25" customHeight="1">
      <c r="E537" s="3"/>
      <c r="F537" s="3"/>
    </row>
    <row r="538" ht="14.25" customHeight="1">
      <c r="E538" s="3"/>
      <c r="F538" s="3"/>
    </row>
    <row r="539" ht="14.25" customHeight="1">
      <c r="E539" s="3"/>
      <c r="F539" s="3"/>
    </row>
    <row r="540" ht="14.25" customHeight="1">
      <c r="E540" s="3"/>
      <c r="F540" s="3"/>
    </row>
    <row r="541" ht="14.25" customHeight="1">
      <c r="E541" s="3"/>
      <c r="F541" s="3"/>
    </row>
    <row r="542" ht="14.25" customHeight="1">
      <c r="E542" s="3"/>
      <c r="F542" s="3"/>
    </row>
    <row r="543" ht="14.25" customHeight="1">
      <c r="E543" s="3"/>
      <c r="F543" s="3"/>
    </row>
    <row r="544" ht="14.25" customHeight="1">
      <c r="E544" s="3"/>
      <c r="F544" s="3"/>
    </row>
    <row r="545" ht="14.25" customHeight="1">
      <c r="E545" s="3"/>
      <c r="F545" s="3"/>
    </row>
    <row r="546" ht="14.25" customHeight="1">
      <c r="E546" s="3"/>
      <c r="F546" s="3"/>
    </row>
    <row r="547" ht="14.25" customHeight="1">
      <c r="E547" s="3"/>
      <c r="F547" s="3"/>
    </row>
    <row r="548" ht="14.25" customHeight="1">
      <c r="E548" s="3"/>
      <c r="F548" s="3"/>
    </row>
    <row r="549" ht="14.25" customHeight="1">
      <c r="E549" s="3"/>
      <c r="F549" s="3"/>
    </row>
    <row r="550" ht="14.25" customHeight="1">
      <c r="E550" s="3"/>
      <c r="F550" s="3"/>
    </row>
    <row r="551" ht="14.25" customHeight="1">
      <c r="E551" s="3"/>
      <c r="F551" s="3"/>
    </row>
    <row r="552" ht="14.25" customHeight="1">
      <c r="E552" s="3"/>
      <c r="F552" s="3"/>
    </row>
    <row r="553" ht="14.25" customHeight="1">
      <c r="E553" s="3"/>
      <c r="F553" s="3"/>
    </row>
    <row r="554" ht="14.25" customHeight="1">
      <c r="E554" s="3"/>
      <c r="F554" s="3"/>
    </row>
    <row r="555" ht="14.25" customHeight="1">
      <c r="E555" s="3"/>
      <c r="F555" s="3"/>
    </row>
    <row r="556" ht="14.25" customHeight="1">
      <c r="E556" s="3"/>
      <c r="F556" s="3"/>
    </row>
    <row r="557" ht="14.25" customHeight="1">
      <c r="E557" s="3"/>
      <c r="F557" s="3"/>
    </row>
    <row r="558" ht="14.25" customHeight="1">
      <c r="E558" s="3"/>
      <c r="F558" s="3"/>
    </row>
    <row r="559" ht="14.25" customHeight="1">
      <c r="E559" s="3"/>
      <c r="F559" s="3"/>
    </row>
    <row r="560" ht="14.25" customHeight="1">
      <c r="E560" s="3"/>
      <c r="F560" s="3"/>
    </row>
    <row r="561" ht="14.25" customHeight="1">
      <c r="E561" s="3"/>
      <c r="F561" s="3"/>
    </row>
    <row r="562" ht="14.25" customHeight="1">
      <c r="E562" s="3"/>
      <c r="F562" s="3"/>
    </row>
    <row r="563" ht="14.25" customHeight="1">
      <c r="E563" s="3"/>
      <c r="F563" s="3"/>
    </row>
    <row r="564" ht="14.25" customHeight="1">
      <c r="E564" s="3"/>
      <c r="F564" s="3"/>
    </row>
    <row r="565" ht="14.25" customHeight="1">
      <c r="E565" s="3"/>
      <c r="F565" s="3"/>
    </row>
    <row r="566" ht="14.25" customHeight="1">
      <c r="E566" s="3"/>
      <c r="F566" s="3"/>
    </row>
    <row r="567" ht="14.25" customHeight="1">
      <c r="E567" s="3"/>
      <c r="F567" s="3"/>
    </row>
    <row r="568" ht="14.25" customHeight="1">
      <c r="E568" s="3"/>
      <c r="F568" s="3"/>
    </row>
    <row r="569" ht="14.25" customHeight="1">
      <c r="E569" s="3"/>
      <c r="F569" s="3"/>
    </row>
    <row r="570" ht="14.25" customHeight="1">
      <c r="E570" s="3"/>
      <c r="F570" s="3"/>
    </row>
    <row r="571" ht="14.25" customHeight="1">
      <c r="E571" s="3"/>
      <c r="F571" s="3"/>
    </row>
    <row r="572" ht="14.25" customHeight="1">
      <c r="E572" s="3"/>
      <c r="F572" s="3"/>
    </row>
    <row r="573" ht="14.25" customHeight="1">
      <c r="E573" s="3"/>
      <c r="F573" s="3"/>
    </row>
    <row r="574" ht="14.25" customHeight="1">
      <c r="E574" s="3"/>
      <c r="F574" s="3"/>
    </row>
    <row r="575" ht="14.25" customHeight="1">
      <c r="E575" s="3"/>
      <c r="F575" s="3"/>
    </row>
    <row r="576" ht="14.25" customHeight="1">
      <c r="E576" s="3"/>
      <c r="F576" s="3"/>
    </row>
    <row r="577" ht="14.25" customHeight="1">
      <c r="E577" s="3"/>
      <c r="F577" s="3"/>
    </row>
    <row r="578" ht="14.25" customHeight="1">
      <c r="E578" s="3"/>
      <c r="F578" s="3"/>
    </row>
    <row r="579" ht="14.25" customHeight="1">
      <c r="E579" s="3"/>
      <c r="F579" s="3"/>
    </row>
    <row r="580" ht="14.25" customHeight="1">
      <c r="E580" s="3"/>
      <c r="F580" s="3"/>
    </row>
    <row r="581" ht="14.25" customHeight="1">
      <c r="E581" s="3"/>
      <c r="F581" s="3"/>
    </row>
    <row r="582" ht="14.25" customHeight="1">
      <c r="E582" s="3"/>
      <c r="F582" s="3"/>
    </row>
    <row r="583" ht="14.25" customHeight="1">
      <c r="E583" s="3"/>
      <c r="F583" s="3"/>
    </row>
    <row r="584" ht="14.25" customHeight="1">
      <c r="E584" s="3"/>
      <c r="F584" s="3"/>
    </row>
    <row r="585" ht="14.25" customHeight="1">
      <c r="E585" s="3"/>
      <c r="F585" s="3"/>
    </row>
    <row r="586" ht="14.25" customHeight="1">
      <c r="E586" s="3"/>
      <c r="F586" s="3"/>
    </row>
    <row r="587" ht="14.25" customHeight="1">
      <c r="E587" s="3"/>
      <c r="F587" s="3"/>
    </row>
    <row r="588" ht="14.25" customHeight="1">
      <c r="E588" s="3"/>
      <c r="F588" s="3"/>
    </row>
    <row r="589" ht="14.25" customHeight="1">
      <c r="E589" s="3"/>
      <c r="F589" s="3"/>
    </row>
    <row r="590" ht="14.25" customHeight="1">
      <c r="E590" s="3"/>
      <c r="F590" s="3"/>
    </row>
    <row r="591" ht="14.25" customHeight="1">
      <c r="E591" s="3"/>
      <c r="F591" s="3"/>
    </row>
    <row r="592" ht="14.25" customHeight="1">
      <c r="E592" s="3"/>
      <c r="F592" s="3"/>
    </row>
    <row r="593" ht="14.25" customHeight="1">
      <c r="E593" s="3"/>
      <c r="F593" s="3"/>
    </row>
    <row r="594" ht="14.25" customHeight="1">
      <c r="E594" s="3"/>
      <c r="F594" s="3"/>
    </row>
    <row r="595" ht="14.25" customHeight="1">
      <c r="E595" s="3"/>
      <c r="F595" s="3"/>
    </row>
    <row r="596" ht="14.25" customHeight="1">
      <c r="E596" s="3"/>
      <c r="F596" s="3"/>
    </row>
    <row r="597" ht="14.25" customHeight="1">
      <c r="E597" s="3"/>
      <c r="F597" s="3"/>
    </row>
    <row r="598" ht="14.25" customHeight="1">
      <c r="E598" s="3"/>
      <c r="F598" s="3"/>
    </row>
    <row r="599" ht="14.25" customHeight="1">
      <c r="E599" s="3"/>
      <c r="F599" s="3"/>
    </row>
    <row r="600" ht="14.25" customHeight="1">
      <c r="E600" s="3"/>
      <c r="F600" s="3"/>
    </row>
    <row r="601" ht="14.25" customHeight="1">
      <c r="E601" s="3"/>
      <c r="F601" s="3"/>
    </row>
    <row r="602" ht="14.25" customHeight="1">
      <c r="E602" s="3"/>
      <c r="F602" s="3"/>
    </row>
    <row r="603" ht="14.25" customHeight="1">
      <c r="E603" s="3"/>
      <c r="F603" s="3"/>
    </row>
    <row r="604" ht="14.25" customHeight="1">
      <c r="E604" s="3"/>
      <c r="F604" s="3"/>
    </row>
    <row r="605" ht="14.25" customHeight="1">
      <c r="E605" s="3"/>
      <c r="F605" s="3"/>
    </row>
    <row r="606" ht="14.25" customHeight="1">
      <c r="E606" s="3"/>
      <c r="F606" s="3"/>
    </row>
    <row r="607" ht="14.25" customHeight="1">
      <c r="E607" s="3"/>
      <c r="F607" s="3"/>
    </row>
    <row r="608" ht="14.25" customHeight="1">
      <c r="E608" s="3"/>
      <c r="F608" s="3"/>
    </row>
    <row r="609" ht="14.25" customHeight="1">
      <c r="E609" s="3"/>
      <c r="F609" s="3"/>
    </row>
    <row r="610" ht="14.25" customHeight="1">
      <c r="E610" s="3"/>
      <c r="F610" s="3"/>
    </row>
    <row r="611" ht="14.25" customHeight="1">
      <c r="E611" s="3"/>
      <c r="F611" s="3"/>
    </row>
    <row r="612" ht="14.25" customHeight="1">
      <c r="E612" s="3"/>
      <c r="F612" s="3"/>
    </row>
    <row r="613" ht="14.25" customHeight="1">
      <c r="E613" s="3"/>
      <c r="F613" s="3"/>
    </row>
    <row r="614" ht="14.25" customHeight="1">
      <c r="E614" s="3"/>
      <c r="F614" s="3"/>
    </row>
    <row r="615" ht="14.25" customHeight="1">
      <c r="E615" s="3"/>
      <c r="F615" s="3"/>
    </row>
    <row r="616" ht="14.25" customHeight="1">
      <c r="E616" s="3"/>
      <c r="F616" s="3"/>
    </row>
    <row r="617" ht="14.25" customHeight="1">
      <c r="E617" s="3"/>
      <c r="F617" s="3"/>
    </row>
    <row r="618" ht="14.25" customHeight="1">
      <c r="E618" s="3"/>
      <c r="F618" s="3"/>
    </row>
    <row r="619" ht="14.25" customHeight="1">
      <c r="E619" s="3"/>
      <c r="F619" s="3"/>
    </row>
    <row r="620" ht="14.25" customHeight="1">
      <c r="E620" s="3"/>
      <c r="F620" s="3"/>
    </row>
    <row r="621" ht="14.25" customHeight="1">
      <c r="E621" s="3"/>
      <c r="F621" s="3"/>
    </row>
    <row r="622" ht="14.25" customHeight="1">
      <c r="E622" s="3"/>
      <c r="F622" s="3"/>
    </row>
    <row r="623" ht="14.25" customHeight="1">
      <c r="E623" s="3"/>
      <c r="F623" s="3"/>
    </row>
    <row r="624" ht="14.25" customHeight="1">
      <c r="E624" s="3"/>
      <c r="F624" s="3"/>
    </row>
    <row r="625" ht="14.25" customHeight="1">
      <c r="E625" s="3"/>
      <c r="F625" s="3"/>
    </row>
    <row r="626" ht="14.25" customHeight="1">
      <c r="E626" s="3"/>
      <c r="F626" s="3"/>
    </row>
    <row r="627" ht="14.25" customHeight="1">
      <c r="E627" s="3"/>
      <c r="F627" s="3"/>
    </row>
    <row r="628" ht="14.25" customHeight="1">
      <c r="E628" s="3"/>
      <c r="F628" s="3"/>
    </row>
    <row r="629" ht="14.25" customHeight="1">
      <c r="E629" s="3"/>
      <c r="F629" s="3"/>
    </row>
    <row r="630" ht="14.25" customHeight="1">
      <c r="E630" s="3"/>
      <c r="F630" s="3"/>
    </row>
    <row r="631" ht="14.25" customHeight="1">
      <c r="E631" s="3"/>
      <c r="F631" s="3"/>
    </row>
    <row r="632" ht="14.25" customHeight="1">
      <c r="E632" s="3"/>
      <c r="F632" s="3"/>
    </row>
    <row r="633" ht="14.25" customHeight="1">
      <c r="E633" s="3"/>
      <c r="F633" s="3"/>
    </row>
    <row r="634" ht="14.25" customHeight="1">
      <c r="E634" s="3"/>
      <c r="F634" s="3"/>
    </row>
    <row r="635" ht="14.25" customHeight="1">
      <c r="E635" s="3"/>
      <c r="F635" s="3"/>
    </row>
    <row r="636" ht="14.25" customHeight="1">
      <c r="E636" s="3"/>
      <c r="F636" s="3"/>
    </row>
    <row r="637" ht="14.25" customHeight="1">
      <c r="E637" s="3"/>
      <c r="F637" s="3"/>
    </row>
    <row r="638" ht="14.25" customHeight="1">
      <c r="E638" s="3"/>
      <c r="F638" s="3"/>
    </row>
    <row r="639" ht="14.25" customHeight="1">
      <c r="E639" s="3"/>
      <c r="F639" s="3"/>
    </row>
    <row r="640" ht="14.25" customHeight="1">
      <c r="E640" s="3"/>
      <c r="F640" s="3"/>
    </row>
    <row r="641" ht="14.25" customHeight="1">
      <c r="E641" s="3"/>
      <c r="F641" s="3"/>
    </row>
    <row r="642" ht="14.25" customHeight="1">
      <c r="E642" s="3"/>
      <c r="F642" s="3"/>
    </row>
    <row r="643" ht="14.25" customHeight="1">
      <c r="E643" s="3"/>
      <c r="F643" s="3"/>
    </row>
    <row r="644" ht="14.25" customHeight="1">
      <c r="E644" s="3"/>
      <c r="F644" s="3"/>
    </row>
    <row r="645" ht="14.25" customHeight="1">
      <c r="E645" s="3"/>
      <c r="F645" s="3"/>
    </row>
    <row r="646" ht="14.25" customHeight="1">
      <c r="E646" s="3"/>
      <c r="F646" s="3"/>
    </row>
    <row r="647" ht="14.25" customHeight="1">
      <c r="E647" s="3"/>
      <c r="F647" s="3"/>
    </row>
    <row r="648" ht="14.25" customHeight="1">
      <c r="E648" s="3"/>
      <c r="F648" s="3"/>
    </row>
    <row r="649" ht="14.25" customHeight="1">
      <c r="E649" s="3"/>
      <c r="F649" s="3"/>
    </row>
    <row r="650" ht="14.25" customHeight="1">
      <c r="E650" s="3"/>
      <c r="F650" s="3"/>
    </row>
    <row r="651" ht="14.25" customHeight="1">
      <c r="E651" s="3"/>
      <c r="F651" s="3"/>
    </row>
    <row r="652" ht="14.25" customHeight="1">
      <c r="E652" s="3"/>
      <c r="F652" s="3"/>
    </row>
    <row r="653" ht="14.25" customHeight="1">
      <c r="E653" s="3"/>
      <c r="F653" s="3"/>
    </row>
    <row r="654" ht="14.25" customHeight="1">
      <c r="E654" s="3"/>
      <c r="F654" s="3"/>
    </row>
    <row r="655" ht="14.25" customHeight="1">
      <c r="E655" s="3"/>
      <c r="F655" s="3"/>
    </row>
    <row r="656" ht="14.25" customHeight="1">
      <c r="E656" s="3"/>
      <c r="F656" s="3"/>
    </row>
    <row r="657" ht="14.25" customHeight="1">
      <c r="E657" s="3"/>
      <c r="F657" s="3"/>
    </row>
    <row r="658" ht="14.25" customHeight="1">
      <c r="E658" s="3"/>
      <c r="F658" s="3"/>
    </row>
    <row r="659" ht="14.25" customHeight="1">
      <c r="E659" s="3"/>
      <c r="F659" s="3"/>
    </row>
    <row r="660" ht="14.25" customHeight="1">
      <c r="E660" s="3"/>
      <c r="F660" s="3"/>
    </row>
    <row r="661" ht="14.25" customHeight="1">
      <c r="E661" s="3"/>
      <c r="F661" s="3"/>
    </row>
    <row r="662" ht="14.25" customHeight="1">
      <c r="E662" s="3"/>
      <c r="F662" s="3"/>
    </row>
    <row r="663" ht="14.25" customHeight="1">
      <c r="E663" s="3"/>
      <c r="F663" s="3"/>
    </row>
    <row r="664" ht="14.25" customHeight="1">
      <c r="E664" s="3"/>
      <c r="F664" s="3"/>
    </row>
    <row r="665" ht="14.25" customHeight="1">
      <c r="E665" s="3"/>
      <c r="F665" s="3"/>
    </row>
    <row r="666" ht="14.25" customHeight="1">
      <c r="E666" s="3"/>
      <c r="F666" s="3"/>
    </row>
    <row r="667" ht="14.25" customHeight="1">
      <c r="E667" s="3"/>
      <c r="F667" s="3"/>
    </row>
    <row r="668" ht="14.25" customHeight="1">
      <c r="E668" s="3"/>
      <c r="F668" s="3"/>
    </row>
    <row r="669" ht="14.25" customHeight="1">
      <c r="E669" s="3"/>
      <c r="F669" s="3"/>
    </row>
    <row r="670" ht="14.25" customHeight="1">
      <c r="E670" s="3"/>
      <c r="F670" s="3"/>
    </row>
    <row r="671" ht="14.25" customHeight="1">
      <c r="E671" s="3"/>
      <c r="F671" s="3"/>
    </row>
    <row r="672" ht="14.25" customHeight="1">
      <c r="E672" s="3"/>
      <c r="F672" s="3"/>
    </row>
    <row r="673" ht="14.25" customHeight="1">
      <c r="E673" s="3"/>
      <c r="F673" s="3"/>
    </row>
    <row r="674" ht="14.25" customHeight="1">
      <c r="E674" s="3"/>
      <c r="F674" s="3"/>
    </row>
    <row r="675" ht="14.25" customHeight="1">
      <c r="E675" s="3"/>
      <c r="F675" s="3"/>
    </row>
    <row r="676" ht="14.25" customHeight="1">
      <c r="E676" s="3"/>
      <c r="F676" s="3"/>
    </row>
    <row r="677" ht="14.25" customHeight="1">
      <c r="E677" s="3"/>
      <c r="F677" s="3"/>
    </row>
    <row r="678" ht="14.25" customHeight="1">
      <c r="E678" s="3"/>
      <c r="F678" s="3"/>
    </row>
    <row r="679" ht="14.25" customHeight="1">
      <c r="E679" s="3"/>
      <c r="F679" s="3"/>
    </row>
    <row r="680" ht="14.25" customHeight="1">
      <c r="E680" s="3"/>
      <c r="F680" s="3"/>
    </row>
    <row r="681" ht="14.25" customHeight="1">
      <c r="E681" s="3"/>
      <c r="F681" s="3"/>
    </row>
    <row r="682" ht="14.25" customHeight="1">
      <c r="E682" s="3"/>
      <c r="F682" s="3"/>
    </row>
    <row r="683" ht="14.25" customHeight="1">
      <c r="E683" s="3"/>
      <c r="F683" s="3"/>
    </row>
    <row r="684" ht="14.25" customHeight="1">
      <c r="E684" s="3"/>
      <c r="F684" s="3"/>
    </row>
    <row r="685" ht="14.25" customHeight="1">
      <c r="E685" s="3"/>
      <c r="F685" s="3"/>
    </row>
    <row r="686" ht="14.25" customHeight="1">
      <c r="E686" s="3"/>
      <c r="F686" s="3"/>
    </row>
    <row r="687" ht="14.25" customHeight="1">
      <c r="E687" s="3"/>
      <c r="F687" s="3"/>
    </row>
    <row r="688" ht="14.25" customHeight="1">
      <c r="E688" s="3"/>
      <c r="F688" s="3"/>
    </row>
    <row r="689" ht="14.25" customHeight="1">
      <c r="E689" s="3"/>
      <c r="F689" s="3"/>
    </row>
    <row r="690" ht="14.25" customHeight="1">
      <c r="E690" s="3"/>
      <c r="F690" s="3"/>
    </row>
    <row r="691" ht="14.25" customHeight="1">
      <c r="E691" s="3"/>
      <c r="F691" s="3"/>
    </row>
    <row r="692" ht="14.25" customHeight="1">
      <c r="E692" s="3"/>
      <c r="F692" s="3"/>
    </row>
    <row r="693" ht="14.25" customHeight="1">
      <c r="E693" s="3"/>
      <c r="F693" s="3"/>
    </row>
    <row r="694" ht="14.25" customHeight="1">
      <c r="E694" s="3"/>
      <c r="F694" s="3"/>
    </row>
    <row r="695" ht="14.25" customHeight="1">
      <c r="E695" s="3"/>
      <c r="F695" s="3"/>
    </row>
    <row r="696" ht="14.25" customHeight="1">
      <c r="E696" s="3"/>
      <c r="F696" s="3"/>
    </row>
    <row r="697" ht="14.25" customHeight="1">
      <c r="E697" s="3"/>
      <c r="F697" s="3"/>
    </row>
    <row r="698" ht="14.25" customHeight="1">
      <c r="E698" s="3"/>
      <c r="F698" s="3"/>
    </row>
    <row r="699" ht="14.25" customHeight="1">
      <c r="E699" s="3"/>
      <c r="F699" s="3"/>
    </row>
    <row r="700" ht="14.25" customHeight="1">
      <c r="E700" s="3"/>
      <c r="F700" s="3"/>
    </row>
    <row r="701" ht="14.25" customHeight="1">
      <c r="E701" s="3"/>
      <c r="F701" s="3"/>
    </row>
    <row r="702" ht="14.25" customHeight="1">
      <c r="E702" s="3"/>
      <c r="F702" s="3"/>
    </row>
    <row r="703" ht="14.25" customHeight="1">
      <c r="E703" s="3"/>
      <c r="F703" s="3"/>
    </row>
    <row r="704" ht="14.25" customHeight="1">
      <c r="E704" s="3"/>
      <c r="F704" s="3"/>
    </row>
    <row r="705" ht="14.25" customHeight="1">
      <c r="E705" s="3"/>
      <c r="F705" s="3"/>
    </row>
    <row r="706" ht="14.25" customHeight="1">
      <c r="E706" s="3"/>
      <c r="F706" s="3"/>
    </row>
    <row r="707" ht="14.25" customHeight="1">
      <c r="E707" s="3"/>
      <c r="F707" s="3"/>
    </row>
    <row r="708" ht="14.25" customHeight="1">
      <c r="E708" s="3"/>
      <c r="F708" s="3"/>
    </row>
    <row r="709" ht="14.25" customHeight="1">
      <c r="E709" s="3"/>
      <c r="F709" s="3"/>
    </row>
    <row r="710" ht="14.25" customHeight="1">
      <c r="E710" s="3"/>
      <c r="F710" s="3"/>
    </row>
    <row r="711" ht="14.25" customHeight="1">
      <c r="E711" s="3"/>
      <c r="F711" s="3"/>
    </row>
    <row r="712" ht="14.25" customHeight="1">
      <c r="E712" s="3"/>
      <c r="F712" s="3"/>
    </row>
    <row r="713" ht="14.25" customHeight="1">
      <c r="E713" s="3"/>
      <c r="F713" s="3"/>
    </row>
    <row r="714" ht="14.25" customHeight="1">
      <c r="E714" s="3"/>
      <c r="F714" s="3"/>
    </row>
    <row r="715" ht="14.25" customHeight="1">
      <c r="E715" s="3"/>
      <c r="F715" s="3"/>
    </row>
    <row r="716" ht="14.25" customHeight="1">
      <c r="E716" s="3"/>
      <c r="F716" s="3"/>
    </row>
    <row r="717" ht="14.25" customHeight="1">
      <c r="E717" s="3"/>
      <c r="F717" s="3"/>
    </row>
    <row r="718" ht="14.25" customHeight="1">
      <c r="E718" s="3"/>
      <c r="F718" s="3"/>
    </row>
    <row r="719" ht="14.25" customHeight="1">
      <c r="E719" s="3"/>
      <c r="F719" s="3"/>
    </row>
    <row r="720" ht="14.25" customHeight="1">
      <c r="E720" s="3"/>
      <c r="F720" s="3"/>
    </row>
    <row r="721" ht="14.25" customHeight="1">
      <c r="E721" s="3"/>
      <c r="F721" s="3"/>
    </row>
    <row r="722" ht="14.25" customHeight="1">
      <c r="E722" s="3"/>
      <c r="F722" s="3"/>
    </row>
    <row r="723" ht="14.25" customHeight="1">
      <c r="E723" s="3"/>
      <c r="F723" s="3"/>
    </row>
    <row r="724" ht="14.25" customHeight="1">
      <c r="E724" s="3"/>
      <c r="F724" s="3"/>
    </row>
    <row r="725" ht="14.25" customHeight="1">
      <c r="E725" s="3"/>
      <c r="F725" s="3"/>
    </row>
    <row r="726" ht="14.25" customHeight="1">
      <c r="E726" s="3"/>
      <c r="F726" s="3"/>
    </row>
    <row r="727" ht="14.25" customHeight="1">
      <c r="E727" s="3"/>
      <c r="F727" s="3"/>
    </row>
    <row r="728" ht="14.25" customHeight="1">
      <c r="E728" s="3"/>
      <c r="F728" s="3"/>
    </row>
    <row r="729" ht="14.25" customHeight="1">
      <c r="E729" s="3"/>
      <c r="F729" s="3"/>
    </row>
    <row r="730" ht="14.25" customHeight="1">
      <c r="E730" s="3"/>
      <c r="F730" s="3"/>
    </row>
    <row r="731" ht="14.25" customHeight="1">
      <c r="E731" s="3"/>
      <c r="F731" s="3"/>
    </row>
    <row r="732" ht="14.25" customHeight="1">
      <c r="E732" s="3"/>
      <c r="F732" s="3"/>
    </row>
    <row r="733" ht="14.25" customHeight="1">
      <c r="E733" s="3"/>
      <c r="F733" s="3"/>
    </row>
    <row r="734" ht="14.25" customHeight="1">
      <c r="E734" s="3"/>
      <c r="F734" s="3"/>
    </row>
    <row r="735" ht="14.25" customHeight="1">
      <c r="E735" s="3"/>
      <c r="F735" s="3"/>
    </row>
    <row r="736" ht="14.25" customHeight="1">
      <c r="E736" s="3"/>
      <c r="F736" s="3"/>
    </row>
    <row r="737" ht="14.25" customHeight="1">
      <c r="E737" s="3"/>
      <c r="F737" s="3"/>
    </row>
    <row r="738" ht="14.25" customHeight="1">
      <c r="E738" s="3"/>
      <c r="F738" s="3"/>
    </row>
    <row r="739" ht="14.25" customHeight="1">
      <c r="E739" s="3"/>
      <c r="F739" s="3"/>
    </row>
    <row r="740" ht="14.25" customHeight="1">
      <c r="E740" s="3"/>
      <c r="F740" s="3"/>
    </row>
    <row r="741" ht="14.25" customHeight="1">
      <c r="E741" s="3"/>
      <c r="F741" s="3"/>
    </row>
    <row r="742" ht="14.25" customHeight="1">
      <c r="E742" s="3"/>
      <c r="F742" s="3"/>
    </row>
    <row r="743" ht="14.25" customHeight="1">
      <c r="E743" s="3"/>
      <c r="F743" s="3"/>
    </row>
    <row r="744" ht="14.25" customHeight="1">
      <c r="E744" s="3"/>
      <c r="F744" s="3"/>
    </row>
    <row r="745" ht="14.25" customHeight="1">
      <c r="E745" s="3"/>
      <c r="F745" s="3"/>
    </row>
    <row r="746" ht="14.25" customHeight="1">
      <c r="E746" s="3"/>
      <c r="F746" s="3"/>
    </row>
    <row r="747" ht="14.25" customHeight="1">
      <c r="E747" s="3"/>
      <c r="F747" s="3"/>
    </row>
    <row r="748" ht="14.25" customHeight="1">
      <c r="E748" s="3"/>
      <c r="F748" s="3"/>
    </row>
    <row r="749" ht="14.25" customHeight="1">
      <c r="E749" s="3"/>
      <c r="F749" s="3"/>
    </row>
    <row r="750" ht="14.25" customHeight="1">
      <c r="E750" s="3"/>
      <c r="F750" s="3"/>
    </row>
    <row r="751" ht="14.25" customHeight="1">
      <c r="E751" s="3"/>
      <c r="F751" s="3"/>
    </row>
    <row r="752" ht="14.25" customHeight="1">
      <c r="E752" s="3"/>
      <c r="F752" s="3"/>
    </row>
    <row r="753" ht="14.25" customHeight="1">
      <c r="E753" s="3"/>
      <c r="F753" s="3"/>
    </row>
    <row r="754" ht="14.25" customHeight="1">
      <c r="E754" s="3"/>
      <c r="F754" s="3"/>
    </row>
    <row r="755" ht="14.25" customHeight="1">
      <c r="E755" s="3"/>
      <c r="F755" s="3"/>
    </row>
    <row r="756" ht="14.25" customHeight="1">
      <c r="E756" s="3"/>
      <c r="F756" s="3"/>
    </row>
    <row r="757" ht="14.25" customHeight="1">
      <c r="E757" s="3"/>
      <c r="F757" s="3"/>
    </row>
    <row r="758" ht="14.25" customHeight="1">
      <c r="E758" s="3"/>
      <c r="F758" s="3"/>
    </row>
    <row r="759" ht="14.25" customHeight="1">
      <c r="E759" s="3"/>
      <c r="F759" s="3"/>
    </row>
    <row r="760" ht="14.25" customHeight="1">
      <c r="E760" s="3"/>
      <c r="F760" s="3"/>
    </row>
    <row r="761" ht="14.25" customHeight="1">
      <c r="E761" s="3"/>
      <c r="F761" s="3"/>
    </row>
    <row r="762" ht="14.25" customHeight="1">
      <c r="E762" s="3"/>
      <c r="F762" s="3"/>
    </row>
    <row r="763" ht="14.25" customHeight="1">
      <c r="E763" s="3"/>
      <c r="F763" s="3"/>
    </row>
    <row r="764" ht="14.25" customHeight="1">
      <c r="E764" s="3"/>
      <c r="F764" s="3"/>
    </row>
    <row r="765" ht="14.25" customHeight="1">
      <c r="E765" s="3"/>
      <c r="F765" s="3"/>
    </row>
    <row r="766" ht="14.25" customHeight="1">
      <c r="E766" s="3"/>
      <c r="F766" s="3"/>
    </row>
    <row r="767" ht="14.25" customHeight="1">
      <c r="E767" s="3"/>
      <c r="F767" s="3"/>
    </row>
    <row r="768" ht="14.25" customHeight="1">
      <c r="E768" s="3"/>
      <c r="F768" s="3"/>
    </row>
    <row r="769" ht="14.25" customHeight="1">
      <c r="E769" s="3"/>
      <c r="F769" s="3"/>
    </row>
    <row r="770" ht="14.25" customHeight="1">
      <c r="E770" s="3"/>
      <c r="F770" s="3"/>
    </row>
    <row r="771" ht="14.25" customHeight="1">
      <c r="E771" s="3"/>
      <c r="F771" s="3"/>
    </row>
    <row r="772" ht="14.25" customHeight="1">
      <c r="E772" s="3"/>
      <c r="F772" s="3"/>
    </row>
    <row r="773" ht="14.25" customHeight="1">
      <c r="E773" s="3"/>
      <c r="F773" s="3"/>
    </row>
    <row r="774" ht="14.25" customHeight="1">
      <c r="E774" s="3"/>
      <c r="F774" s="3"/>
    </row>
    <row r="775" ht="14.25" customHeight="1">
      <c r="E775" s="3"/>
      <c r="F775" s="3"/>
    </row>
    <row r="776" ht="14.25" customHeight="1">
      <c r="E776" s="3"/>
      <c r="F776" s="3"/>
    </row>
    <row r="777" ht="14.25" customHeight="1">
      <c r="E777" s="3"/>
      <c r="F777" s="3"/>
    </row>
    <row r="778" ht="14.25" customHeight="1">
      <c r="E778" s="3"/>
      <c r="F778" s="3"/>
    </row>
    <row r="779" ht="14.25" customHeight="1">
      <c r="E779" s="3"/>
      <c r="F779" s="3"/>
    </row>
    <row r="780" ht="14.25" customHeight="1">
      <c r="E780" s="3"/>
      <c r="F780" s="3"/>
    </row>
    <row r="781" ht="14.25" customHeight="1">
      <c r="E781" s="3"/>
      <c r="F781" s="3"/>
    </row>
    <row r="782" ht="14.25" customHeight="1">
      <c r="E782" s="3"/>
      <c r="F782" s="3"/>
    </row>
    <row r="783" ht="14.25" customHeight="1">
      <c r="E783" s="3"/>
      <c r="F783" s="3"/>
    </row>
    <row r="784" ht="14.25" customHeight="1">
      <c r="E784" s="3"/>
      <c r="F784" s="3"/>
    </row>
    <row r="785" ht="14.25" customHeight="1">
      <c r="E785" s="3"/>
      <c r="F785" s="3"/>
    </row>
    <row r="786" ht="14.25" customHeight="1">
      <c r="E786" s="3"/>
      <c r="F786" s="3"/>
    </row>
    <row r="787" ht="14.25" customHeight="1">
      <c r="E787" s="3"/>
      <c r="F787" s="3"/>
    </row>
    <row r="788" ht="14.25" customHeight="1">
      <c r="E788" s="3"/>
      <c r="F788" s="3"/>
    </row>
    <row r="789" ht="14.25" customHeight="1">
      <c r="E789" s="3"/>
      <c r="F789" s="3"/>
    </row>
    <row r="790" ht="14.25" customHeight="1">
      <c r="E790" s="3"/>
      <c r="F790" s="3"/>
    </row>
    <row r="791" ht="14.25" customHeight="1">
      <c r="E791" s="3"/>
      <c r="F791" s="3"/>
    </row>
    <row r="792" ht="14.25" customHeight="1">
      <c r="E792" s="3"/>
      <c r="F792" s="3"/>
    </row>
    <row r="793" ht="14.25" customHeight="1">
      <c r="E793" s="3"/>
      <c r="F793" s="3"/>
    </row>
    <row r="794" ht="14.25" customHeight="1">
      <c r="E794" s="3"/>
      <c r="F794" s="3"/>
    </row>
    <row r="795" ht="14.25" customHeight="1">
      <c r="E795" s="3"/>
      <c r="F795" s="3"/>
    </row>
    <row r="796" ht="14.25" customHeight="1">
      <c r="E796" s="3"/>
      <c r="F796" s="3"/>
    </row>
    <row r="797" ht="14.25" customHeight="1">
      <c r="E797" s="3"/>
      <c r="F797" s="3"/>
    </row>
    <row r="798" ht="14.25" customHeight="1">
      <c r="E798" s="3"/>
      <c r="F798" s="3"/>
    </row>
    <row r="799" ht="14.25" customHeight="1">
      <c r="E799" s="3"/>
      <c r="F799" s="3"/>
    </row>
    <row r="800" ht="14.25" customHeight="1">
      <c r="E800" s="3"/>
      <c r="F800" s="3"/>
    </row>
    <row r="801" ht="14.25" customHeight="1">
      <c r="E801" s="3"/>
      <c r="F801" s="3"/>
    </row>
    <row r="802" ht="14.25" customHeight="1">
      <c r="E802" s="3"/>
      <c r="F802" s="3"/>
    </row>
    <row r="803" ht="14.25" customHeight="1">
      <c r="E803" s="3"/>
      <c r="F803" s="3"/>
    </row>
    <row r="804" ht="14.25" customHeight="1">
      <c r="E804" s="3"/>
      <c r="F804" s="3"/>
    </row>
    <row r="805" ht="14.25" customHeight="1">
      <c r="E805" s="3"/>
      <c r="F805" s="3"/>
    </row>
    <row r="806" ht="14.25" customHeight="1">
      <c r="E806" s="3"/>
      <c r="F806" s="3"/>
    </row>
    <row r="807" ht="14.25" customHeight="1">
      <c r="E807" s="3"/>
      <c r="F807" s="3"/>
    </row>
    <row r="808" ht="14.25" customHeight="1">
      <c r="E808" s="3"/>
      <c r="F808" s="3"/>
    </row>
    <row r="809" ht="14.25" customHeight="1">
      <c r="E809" s="3"/>
      <c r="F809" s="3"/>
    </row>
    <row r="810" ht="14.25" customHeight="1">
      <c r="E810" s="3"/>
      <c r="F810" s="3"/>
    </row>
    <row r="811" ht="14.25" customHeight="1">
      <c r="E811" s="3"/>
      <c r="F811" s="3"/>
    </row>
    <row r="812" ht="14.25" customHeight="1">
      <c r="E812" s="3"/>
      <c r="F812" s="3"/>
    </row>
    <row r="813" ht="14.25" customHeight="1">
      <c r="E813" s="3"/>
      <c r="F813" s="3"/>
    </row>
    <row r="814" ht="14.25" customHeight="1">
      <c r="E814" s="3"/>
      <c r="F814" s="3"/>
    </row>
    <row r="815" ht="14.25" customHeight="1">
      <c r="E815" s="3"/>
      <c r="F815" s="3"/>
    </row>
    <row r="816" ht="14.25" customHeight="1">
      <c r="E816" s="3"/>
      <c r="F816" s="3"/>
    </row>
    <row r="817" ht="14.25" customHeight="1">
      <c r="E817" s="3"/>
      <c r="F817" s="3"/>
    </row>
    <row r="818" ht="14.25" customHeight="1">
      <c r="E818" s="3"/>
      <c r="F818" s="3"/>
    </row>
    <row r="819" ht="14.25" customHeight="1">
      <c r="E819" s="3"/>
      <c r="F819" s="3"/>
    </row>
    <row r="820" ht="14.25" customHeight="1">
      <c r="E820" s="3"/>
      <c r="F820" s="3"/>
    </row>
    <row r="821" ht="14.25" customHeight="1">
      <c r="E821" s="3"/>
      <c r="F821" s="3"/>
    </row>
    <row r="822" ht="14.25" customHeight="1">
      <c r="E822" s="3"/>
      <c r="F822" s="3"/>
    </row>
    <row r="823" ht="14.25" customHeight="1">
      <c r="E823" s="3"/>
      <c r="F823" s="3"/>
    </row>
    <row r="824" ht="14.25" customHeight="1">
      <c r="E824" s="3"/>
      <c r="F824" s="3"/>
    </row>
    <row r="825" ht="14.25" customHeight="1">
      <c r="E825" s="3"/>
      <c r="F825" s="3"/>
    </row>
    <row r="826" ht="14.25" customHeight="1">
      <c r="E826" s="3"/>
      <c r="F826" s="3"/>
    </row>
    <row r="827" ht="14.25" customHeight="1">
      <c r="E827" s="3"/>
      <c r="F827" s="3"/>
    </row>
    <row r="828" ht="14.25" customHeight="1">
      <c r="E828" s="3"/>
      <c r="F828" s="3"/>
    </row>
    <row r="829" ht="14.25" customHeight="1">
      <c r="E829" s="3"/>
      <c r="F829" s="3"/>
    </row>
    <row r="830" ht="14.25" customHeight="1">
      <c r="E830" s="3"/>
      <c r="F830" s="3"/>
    </row>
    <row r="831" ht="14.25" customHeight="1">
      <c r="E831" s="3"/>
      <c r="F831" s="3"/>
    </row>
    <row r="832" ht="14.25" customHeight="1">
      <c r="E832" s="3"/>
      <c r="F832" s="3"/>
    </row>
    <row r="833" ht="14.25" customHeight="1">
      <c r="E833" s="3"/>
      <c r="F833" s="3"/>
    </row>
    <row r="834" ht="14.25" customHeight="1">
      <c r="E834" s="3"/>
      <c r="F834" s="3"/>
    </row>
    <row r="835" ht="14.25" customHeight="1">
      <c r="E835" s="3"/>
      <c r="F835" s="3"/>
    </row>
    <row r="836" ht="14.25" customHeight="1">
      <c r="E836" s="3"/>
      <c r="F836" s="3"/>
    </row>
    <row r="837" ht="14.25" customHeight="1">
      <c r="E837" s="3"/>
      <c r="F837" s="3"/>
    </row>
    <row r="838" ht="14.25" customHeight="1">
      <c r="E838" s="3"/>
      <c r="F838" s="3"/>
    </row>
    <row r="839" ht="14.25" customHeight="1">
      <c r="E839" s="3"/>
      <c r="F839" s="3"/>
    </row>
    <row r="840" ht="14.25" customHeight="1">
      <c r="E840" s="3"/>
      <c r="F840" s="3"/>
    </row>
    <row r="841" ht="14.25" customHeight="1">
      <c r="E841" s="3"/>
      <c r="F841" s="3"/>
    </row>
    <row r="842" ht="14.25" customHeight="1">
      <c r="E842" s="3"/>
      <c r="F842" s="3"/>
    </row>
    <row r="843" ht="14.25" customHeight="1">
      <c r="E843" s="3"/>
      <c r="F843" s="3"/>
    </row>
    <row r="844" ht="14.25" customHeight="1">
      <c r="E844" s="3"/>
      <c r="F844" s="3"/>
    </row>
    <row r="845" ht="14.25" customHeight="1">
      <c r="E845" s="3"/>
      <c r="F845" s="3"/>
    </row>
    <row r="846" ht="14.25" customHeight="1">
      <c r="E846" s="3"/>
      <c r="F846" s="3"/>
    </row>
    <row r="847" ht="14.25" customHeight="1">
      <c r="E847" s="3"/>
      <c r="F847" s="3"/>
    </row>
    <row r="848" ht="14.25" customHeight="1">
      <c r="E848" s="3"/>
      <c r="F848" s="3"/>
    </row>
    <row r="849" ht="14.25" customHeight="1">
      <c r="E849" s="3"/>
      <c r="F849" s="3"/>
    </row>
    <row r="850" ht="14.25" customHeight="1">
      <c r="E850" s="3"/>
      <c r="F850" s="3"/>
    </row>
    <row r="851" ht="14.25" customHeight="1">
      <c r="E851" s="3"/>
      <c r="F851" s="3"/>
    </row>
    <row r="852" ht="14.25" customHeight="1">
      <c r="E852" s="3"/>
      <c r="F852" s="3"/>
    </row>
    <row r="853" ht="14.25" customHeight="1">
      <c r="E853" s="3"/>
      <c r="F853" s="3"/>
    </row>
    <row r="854" ht="14.25" customHeight="1">
      <c r="E854" s="3"/>
      <c r="F854" s="3"/>
    </row>
    <row r="855" ht="14.25" customHeight="1">
      <c r="E855" s="3"/>
      <c r="F855" s="3"/>
    </row>
    <row r="856" ht="14.25" customHeight="1">
      <c r="E856" s="3"/>
      <c r="F856" s="3"/>
    </row>
    <row r="857" ht="14.25" customHeight="1">
      <c r="E857" s="3"/>
      <c r="F857" s="3"/>
    </row>
    <row r="858" ht="14.25" customHeight="1">
      <c r="E858" s="3"/>
      <c r="F858" s="3"/>
    </row>
    <row r="859" ht="14.25" customHeight="1">
      <c r="E859" s="3"/>
      <c r="F859" s="3"/>
    </row>
    <row r="860" ht="14.25" customHeight="1">
      <c r="E860" s="3"/>
      <c r="F860" s="3"/>
    </row>
    <row r="861" ht="14.25" customHeight="1">
      <c r="E861" s="3"/>
      <c r="F861" s="3"/>
    </row>
    <row r="862" ht="14.25" customHeight="1">
      <c r="E862" s="3"/>
      <c r="F862" s="3"/>
    </row>
    <row r="863" ht="14.25" customHeight="1">
      <c r="E863" s="3"/>
      <c r="F863" s="3"/>
    </row>
    <row r="864" ht="14.25" customHeight="1">
      <c r="E864" s="3"/>
      <c r="F864" s="3"/>
    </row>
    <row r="865" ht="14.25" customHeight="1">
      <c r="E865" s="3"/>
      <c r="F865" s="3"/>
    </row>
    <row r="866" ht="14.25" customHeight="1">
      <c r="E866" s="3"/>
      <c r="F866" s="3"/>
    </row>
    <row r="867" ht="14.25" customHeight="1">
      <c r="E867" s="3"/>
      <c r="F867" s="3"/>
    </row>
    <row r="868" ht="14.25" customHeight="1">
      <c r="E868" s="3"/>
      <c r="F868" s="3"/>
    </row>
    <row r="869" ht="14.25" customHeight="1">
      <c r="E869" s="3"/>
      <c r="F869" s="3"/>
    </row>
    <row r="870" ht="14.25" customHeight="1">
      <c r="E870" s="3"/>
      <c r="F870" s="3"/>
    </row>
    <row r="871" ht="14.25" customHeight="1">
      <c r="E871" s="3"/>
      <c r="F871" s="3"/>
    </row>
    <row r="872" ht="14.25" customHeight="1">
      <c r="E872" s="3"/>
      <c r="F872" s="3"/>
    </row>
    <row r="873" ht="14.25" customHeight="1">
      <c r="E873" s="3"/>
      <c r="F873" s="3"/>
    </row>
    <row r="874" ht="14.25" customHeight="1">
      <c r="E874" s="3"/>
      <c r="F874" s="3"/>
    </row>
    <row r="875" ht="14.25" customHeight="1">
      <c r="E875" s="3"/>
      <c r="F875" s="3"/>
    </row>
    <row r="876" ht="14.25" customHeight="1">
      <c r="E876" s="3"/>
      <c r="F876" s="3"/>
    </row>
    <row r="877" ht="14.25" customHeight="1">
      <c r="E877" s="3"/>
      <c r="F877" s="3"/>
    </row>
    <row r="878" ht="14.25" customHeight="1">
      <c r="E878" s="3"/>
      <c r="F878" s="3"/>
    </row>
    <row r="879" ht="14.25" customHeight="1">
      <c r="E879" s="3"/>
      <c r="F879" s="3"/>
    </row>
    <row r="880" ht="14.25" customHeight="1">
      <c r="E880" s="3"/>
      <c r="F880" s="3"/>
    </row>
    <row r="881" ht="14.25" customHeight="1">
      <c r="E881" s="3"/>
      <c r="F881" s="3"/>
    </row>
    <row r="882" ht="14.25" customHeight="1">
      <c r="E882" s="3"/>
      <c r="F882" s="3"/>
    </row>
    <row r="883" ht="14.25" customHeight="1">
      <c r="E883" s="3"/>
      <c r="F883" s="3"/>
    </row>
    <row r="884" ht="14.25" customHeight="1">
      <c r="E884" s="3"/>
      <c r="F884" s="3"/>
    </row>
    <row r="885" ht="14.25" customHeight="1">
      <c r="E885" s="3"/>
      <c r="F885" s="3"/>
    </row>
    <row r="886" ht="14.25" customHeight="1">
      <c r="E886" s="3"/>
      <c r="F886" s="3"/>
    </row>
    <row r="887" ht="14.25" customHeight="1">
      <c r="E887" s="3"/>
      <c r="F887" s="3"/>
    </row>
    <row r="888" ht="14.25" customHeight="1">
      <c r="E888" s="3"/>
      <c r="F888" s="3"/>
    </row>
    <row r="889" ht="14.25" customHeight="1">
      <c r="E889" s="3"/>
      <c r="F889" s="3"/>
    </row>
    <row r="890" ht="14.25" customHeight="1">
      <c r="E890" s="3"/>
      <c r="F890" s="3"/>
    </row>
    <row r="891" ht="14.25" customHeight="1">
      <c r="E891" s="3"/>
      <c r="F891" s="3"/>
    </row>
    <row r="892" ht="14.25" customHeight="1">
      <c r="E892" s="3"/>
      <c r="F892" s="3"/>
    </row>
    <row r="893" ht="14.25" customHeight="1">
      <c r="E893" s="3"/>
      <c r="F893" s="3"/>
    </row>
    <row r="894" ht="14.25" customHeight="1">
      <c r="E894" s="3"/>
      <c r="F894" s="3"/>
    </row>
    <row r="895" ht="14.25" customHeight="1">
      <c r="E895" s="3"/>
      <c r="F895" s="3"/>
    </row>
    <row r="896" ht="14.25" customHeight="1">
      <c r="E896" s="3"/>
      <c r="F896" s="3"/>
    </row>
    <row r="897" ht="14.25" customHeight="1">
      <c r="E897" s="3"/>
      <c r="F897" s="3"/>
    </row>
    <row r="898" ht="14.25" customHeight="1">
      <c r="E898" s="3"/>
      <c r="F898" s="3"/>
    </row>
    <row r="899" ht="14.25" customHeight="1">
      <c r="E899" s="3"/>
      <c r="F899" s="3"/>
    </row>
    <row r="900" ht="14.25" customHeight="1">
      <c r="E900" s="3"/>
      <c r="F900" s="3"/>
    </row>
    <row r="901" ht="14.25" customHeight="1">
      <c r="E901" s="3"/>
      <c r="F901" s="3"/>
    </row>
    <row r="902" ht="14.25" customHeight="1">
      <c r="E902" s="3"/>
      <c r="F902" s="3"/>
    </row>
    <row r="903" ht="14.25" customHeight="1">
      <c r="E903" s="3"/>
      <c r="F903" s="3"/>
    </row>
    <row r="904" ht="14.25" customHeight="1">
      <c r="E904" s="3"/>
      <c r="F904" s="3"/>
    </row>
    <row r="905" ht="14.25" customHeight="1">
      <c r="E905" s="3"/>
      <c r="F905" s="3"/>
    </row>
    <row r="906" ht="14.25" customHeight="1">
      <c r="E906" s="3"/>
      <c r="F906" s="3"/>
    </row>
    <row r="907" ht="14.25" customHeight="1">
      <c r="E907" s="3"/>
      <c r="F907" s="3"/>
    </row>
    <row r="908" ht="14.25" customHeight="1">
      <c r="E908" s="3"/>
      <c r="F908" s="3"/>
    </row>
    <row r="909" ht="14.25" customHeight="1">
      <c r="E909" s="3"/>
      <c r="F909" s="3"/>
    </row>
    <row r="910" ht="14.25" customHeight="1">
      <c r="E910" s="3"/>
      <c r="F910" s="3"/>
    </row>
    <row r="911" ht="14.25" customHeight="1">
      <c r="E911" s="3"/>
      <c r="F911" s="3"/>
    </row>
    <row r="912" ht="14.25" customHeight="1">
      <c r="E912" s="3"/>
      <c r="F912" s="3"/>
    </row>
    <row r="913" ht="14.25" customHeight="1">
      <c r="E913" s="3"/>
      <c r="F913" s="3"/>
    </row>
    <row r="914" ht="14.25" customHeight="1">
      <c r="E914" s="3"/>
      <c r="F914" s="3"/>
    </row>
    <row r="915" ht="14.25" customHeight="1">
      <c r="E915" s="3"/>
      <c r="F915" s="3"/>
    </row>
    <row r="916" ht="14.25" customHeight="1">
      <c r="E916" s="3"/>
      <c r="F916" s="3"/>
    </row>
    <row r="917" ht="14.25" customHeight="1">
      <c r="E917" s="3"/>
      <c r="F917" s="3"/>
    </row>
    <row r="918" ht="14.25" customHeight="1">
      <c r="E918" s="3"/>
      <c r="F918" s="3"/>
    </row>
    <row r="919" ht="14.25" customHeight="1">
      <c r="E919" s="3"/>
      <c r="F919" s="3"/>
    </row>
    <row r="920" ht="14.25" customHeight="1">
      <c r="E920" s="3"/>
      <c r="F920" s="3"/>
    </row>
    <row r="921" ht="14.25" customHeight="1">
      <c r="E921" s="3"/>
      <c r="F921" s="3"/>
    </row>
    <row r="922" ht="14.25" customHeight="1">
      <c r="E922" s="3"/>
      <c r="F922" s="3"/>
    </row>
    <row r="923" ht="14.25" customHeight="1">
      <c r="E923" s="3"/>
      <c r="F923" s="3"/>
    </row>
    <row r="924" ht="14.25" customHeight="1">
      <c r="E924" s="3"/>
      <c r="F924" s="3"/>
    </row>
    <row r="925" ht="14.25" customHeight="1">
      <c r="E925" s="3"/>
      <c r="F925" s="3"/>
    </row>
    <row r="926" ht="14.25" customHeight="1">
      <c r="E926" s="3"/>
      <c r="F926" s="3"/>
    </row>
    <row r="927" ht="14.25" customHeight="1">
      <c r="E927" s="3"/>
      <c r="F927" s="3"/>
    </row>
    <row r="928" ht="14.25" customHeight="1">
      <c r="E928" s="3"/>
      <c r="F928" s="3"/>
    </row>
    <row r="929" ht="14.25" customHeight="1">
      <c r="E929" s="3"/>
      <c r="F929" s="3"/>
    </row>
    <row r="930" ht="14.25" customHeight="1">
      <c r="E930" s="3"/>
      <c r="F930" s="3"/>
    </row>
    <row r="931" ht="14.25" customHeight="1">
      <c r="E931" s="3"/>
      <c r="F931" s="3"/>
    </row>
    <row r="932" ht="14.25" customHeight="1">
      <c r="E932" s="3"/>
      <c r="F932" s="3"/>
    </row>
    <row r="933" ht="14.25" customHeight="1">
      <c r="E933" s="3"/>
      <c r="F933" s="3"/>
    </row>
    <row r="934" ht="14.25" customHeight="1">
      <c r="E934" s="3"/>
      <c r="F934" s="3"/>
    </row>
    <row r="935" ht="14.25" customHeight="1">
      <c r="E935" s="3"/>
      <c r="F935" s="3"/>
    </row>
    <row r="936" ht="14.25" customHeight="1">
      <c r="E936" s="3"/>
      <c r="F936" s="3"/>
    </row>
    <row r="937" ht="14.25" customHeight="1">
      <c r="E937" s="3"/>
      <c r="F937" s="3"/>
    </row>
    <row r="938" ht="14.25" customHeight="1">
      <c r="E938" s="3"/>
      <c r="F938" s="3"/>
    </row>
    <row r="939" ht="14.25" customHeight="1">
      <c r="E939" s="3"/>
      <c r="F939" s="3"/>
    </row>
    <row r="940" ht="14.25" customHeight="1">
      <c r="E940" s="3"/>
      <c r="F940" s="3"/>
    </row>
    <row r="941" ht="14.25" customHeight="1">
      <c r="E941" s="3"/>
      <c r="F941" s="3"/>
    </row>
    <row r="942" ht="14.25" customHeight="1">
      <c r="E942" s="3"/>
      <c r="F942" s="3"/>
    </row>
    <row r="943" ht="14.25" customHeight="1">
      <c r="E943" s="3"/>
      <c r="F943" s="3"/>
    </row>
    <row r="944" ht="14.25" customHeight="1">
      <c r="E944" s="3"/>
      <c r="F944" s="3"/>
    </row>
    <row r="945" ht="14.25" customHeight="1">
      <c r="E945" s="3"/>
      <c r="F945" s="3"/>
    </row>
    <row r="946" ht="14.25" customHeight="1">
      <c r="E946" s="3"/>
      <c r="F946" s="3"/>
    </row>
    <row r="947" ht="14.25" customHeight="1">
      <c r="E947" s="3"/>
      <c r="F947" s="3"/>
    </row>
    <row r="948" ht="14.25" customHeight="1">
      <c r="E948" s="3"/>
      <c r="F948" s="3"/>
    </row>
    <row r="949" ht="14.25" customHeight="1">
      <c r="E949" s="3"/>
      <c r="F949" s="3"/>
    </row>
    <row r="950" ht="14.25" customHeight="1">
      <c r="E950" s="3"/>
      <c r="F950" s="3"/>
    </row>
    <row r="951" ht="14.25" customHeight="1">
      <c r="E951" s="3"/>
      <c r="F951" s="3"/>
    </row>
    <row r="952" ht="14.25" customHeight="1">
      <c r="E952" s="3"/>
      <c r="F952" s="3"/>
    </row>
    <row r="953" ht="14.25" customHeight="1">
      <c r="E953" s="3"/>
      <c r="F953" s="3"/>
    </row>
    <row r="954" ht="14.25" customHeight="1">
      <c r="E954" s="3"/>
      <c r="F954" s="3"/>
    </row>
    <row r="955" ht="14.25" customHeight="1">
      <c r="E955" s="3"/>
      <c r="F955" s="3"/>
    </row>
    <row r="956" ht="14.25" customHeight="1">
      <c r="E956" s="3"/>
      <c r="F956" s="3"/>
    </row>
    <row r="957" ht="14.25" customHeight="1">
      <c r="E957" s="3"/>
      <c r="F957" s="3"/>
    </row>
    <row r="958" ht="14.25" customHeight="1">
      <c r="E958" s="3"/>
      <c r="F958" s="3"/>
    </row>
    <row r="959" ht="14.25" customHeight="1">
      <c r="E959" s="3"/>
      <c r="F959" s="3"/>
    </row>
    <row r="960" ht="14.25" customHeight="1">
      <c r="E960" s="3"/>
      <c r="F960" s="3"/>
    </row>
    <row r="961" ht="14.25" customHeight="1">
      <c r="E961" s="3"/>
      <c r="F961" s="3"/>
    </row>
    <row r="962" ht="14.25" customHeight="1">
      <c r="E962" s="3"/>
      <c r="F962" s="3"/>
    </row>
    <row r="963" ht="14.25" customHeight="1">
      <c r="E963" s="3"/>
      <c r="F963" s="3"/>
    </row>
    <row r="964" ht="14.25" customHeight="1">
      <c r="E964" s="3"/>
      <c r="F964" s="3"/>
    </row>
    <row r="965" ht="14.25" customHeight="1">
      <c r="E965" s="3"/>
      <c r="F965" s="3"/>
    </row>
    <row r="966" ht="14.25" customHeight="1">
      <c r="E966" s="3"/>
      <c r="F966" s="3"/>
    </row>
    <row r="967" ht="14.25" customHeight="1">
      <c r="E967" s="3"/>
      <c r="F967" s="3"/>
    </row>
    <row r="968" ht="14.25" customHeight="1">
      <c r="E968" s="3"/>
      <c r="F968" s="3"/>
    </row>
    <row r="969" ht="14.25" customHeight="1">
      <c r="E969" s="3"/>
      <c r="F969" s="3"/>
    </row>
    <row r="970" ht="14.25" customHeight="1">
      <c r="E970" s="3"/>
      <c r="F970" s="3"/>
    </row>
    <row r="971" ht="14.25" customHeight="1">
      <c r="E971" s="3"/>
      <c r="F971" s="3"/>
    </row>
    <row r="972" ht="14.25" customHeight="1">
      <c r="E972" s="3"/>
      <c r="F972" s="3"/>
    </row>
    <row r="973" ht="14.25" customHeight="1">
      <c r="E973" s="3"/>
      <c r="F973" s="3"/>
    </row>
    <row r="974" ht="14.25" customHeight="1">
      <c r="E974" s="3"/>
      <c r="F974" s="3"/>
    </row>
    <row r="975" ht="14.25" customHeight="1">
      <c r="E975" s="3"/>
      <c r="F975" s="3"/>
    </row>
    <row r="976" ht="14.25" customHeight="1">
      <c r="E976" s="3"/>
      <c r="F976" s="3"/>
    </row>
    <row r="977" ht="14.25" customHeight="1">
      <c r="E977" s="3"/>
      <c r="F977" s="3"/>
    </row>
    <row r="978" ht="14.25" customHeight="1">
      <c r="E978" s="3"/>
      <c r="F978" s="3"/>
    </row>
    <row r="979" ht="14.25" customHeight="1">
      <c r="E979" s="3"/>
      <c r="F979" s="3"/>
    </row>
    <row r="980" ht="14.25" customHeight="1">
      <c r="E980" s="3"/>
      <c r="F980" s="3"/>
    </row>
    <row r="981" ht="14.25" customHeight="1">
      <c r="E981" s="3"/>
      <c r="F981" s="3"/>
    </row>
    <row r="982" ht="14.25" customHeight="1">
      <c r="E982" s="3"/>
      <c r="F982" s="3"/>
    </row>
    <row r="983" ht="14.25" customHeight="1">
      <c r="E983" s="3"/>
      <c r="F983" s="3"/>
    </row>
    <row r="984" ht="14.25" customHeight="1">
      <c r="E984" s="3"/>
      <c r="F984" s="3"/>
    </row>
    <row r="985" ht="14.25" customHeight="1">
      <c r="E985" s="3"/>
      <c r="F985" s="3"/>
    </row>
    <row r="986" ht="14.25" customHeight="1">
      <c r="E986" s="3"/>
      <c r="F986" s="3"/>
    </row>
    <row r="987" ht="14.25" customHeight="1">
      <c r="E987" s="3"/>
      <c r="F987" s="3"/>
    </row>
    <row r="988" ht="14.25" customHeight="1">
      <c r="E988" s="3"/>
      <c r="F988" s="3"/>
    </row>
    <row r="989" ht="14.25" customHeight="1">
      <c r="E989" s="3"/>
      <c r="F989" s="3"/>
    </row>
    <row r="990" ht="14.25" customHeight="1">
      <c r="E990" s="3"/>
      <c r="F990" s="3"/>
    </row>
    <row r="991" ht="14.25" customHeight="1">
      <c r="E991" s="3"/>
      <c r="F991" s="3"/>
    </row>
    <row r="992" ht="14.25" customHeight="1">
      <c r="E992" s="3"/>
      <c r="F992" s="3"/>
    </row>
    <row r="993" ht="14.25" customHeight="1">
      <c r="E993" s="3"/>
      <c r="F993" s="3"/>
    </row>
    <row r="994" ht="14.25" customHeight="1">
      <c r="E994" s="3"/>
      <c r="F994" s="3"/>
    </row>
    <row r="995" ht="14.25" customHeight="1">
      <c r="E995" s="3"/>
      <c r="F995" s="3"/>
    </row>
    <row r="996" ht="14.25" customHeight="1">
      <c r="E996" s="3"/>
      <c r="F996" s="3"/>
    </row>
    <row r="997" ht="14.25" customHeight="1">
      <c r="E997" s="3"/>
      <c r="F997" s="3"/>
    </row>
    <row r="998" ht="14.25" customHeight="1">
      <c r="E998" s="3"/>
      <c r="F998" s="3"/>
    </row>
    <row r="999" ht="14.25" customHeight="1">
      <c r="E999" s="3"/>
      <c r="F999" s="3"/>
    </row>
    <row r="1000" ht="14.25" customHeight="1">
      <c r="E1000" s="3"/>
      <c r="F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9.75"/>
    <col customWidth="1" min="3" max="26" width="10.63"/>
  </cols>
  <sheetData>
    <row r="1" ht="14.25" customHeight="1">
      <c r="A1" s="2" t="s">
        <v>0</v>
      </c>
      <c r="B1" s="2" t="s">
        <v>1</v>
      </c>
      <c r="C1" s="2" t="s">
        <v>2</v>
      </c>
      <c r="D1" s="2" t="s">
        <v>5</v>
      </c>
      <c r="E1" s="4" t="s">
        <v>4</v>
      </c>
      <c r="F1" s="4">
        <f>SUM(F2:F209)</f>
        <v>1411104.25</v>
      </c>
    </row>
    <row r="2" ht="14.25" hidden="1" customHeight="1">
      <c r="A2" s="2" t="s">
        <v>8</v>
      </c>
      <c r="B2" s="1" t="s">
        <v>9</v>
      </c>
      <c r="C2" s="1" t="s">
        <v>10</v>
      </c>
      <c r="D2" s="1">
        <v>0.25</v>
      </c>
      <c r="E2" s="3">
        <v>21900.0</v>
      </c>
      <c r="F2" s="3">
        <f t="shared" ref="F2:F217" si="1">+E2*D2</f>
        <v>5475</v>
      </c>
    </row>
    <row r="3" ht="14.25" hidden="1" customHeight="1">
      <c r="A3" s="2" t="s">
        <v>14</v>
      </c>
      <c r="B3" s="1" t="s">
        <v>15</v>
      </c>
      <c r="C3" s="1" t="s">
        <v>10</v>
      </c>
      <c r="D3" s="1">
        <v>0.4</v>
      </c>
      <c r="E3" s="3">
        <v>40000.0</v>
      </c>
      <c r="F3" s="3">
        <f t="shared" si="1"/>
        <v>16000</v>
      </c>
    </row>
    <row r="4" ht="14.25" hidden="1" customHeight="1">
      <c r="A4" s="2" t="s">
        <v>8</v>
      </c>
      <c r="B4" s="1" t="s">
        <v>16</v>
      </c>
      <c r="C4" s="1" t="s">
        <v>10</v>
      </c>
      <c r="D4" s="1">
        <v>0.5</v>
      </c>
      <c r="E4" s="3">
        <v>21900.0</v>
      </c>
      <c r="F4" s="3">
        <f t="shared" si="1"/>
        <v>10950</v>
      </c>
    </row>
    <row r="5" ht="14.25" hidden="1" customHeight="1">
      <c r="A5" s="2" t="s">
        <v>17</v>
      </c>
      <c r="B5" s="1" t="s">
        <v>18</v>
      </c>
      <c r="C5" s="1" t="s">
        <v>13</v>
      </c>
      <c r="D5" s="1">
        <v>0.5</v>
      </c>
      <c r="E5" s="3">
        <v>2790.0</v>
      </c>
      <c r="F5" s="3">
        <f t="shared" si="1"/>
        <v>1395</v>
      </c>
    </row>
    <row r="6" ht="14.25" hidden="1" customHeight="1">
      <c r="A6" s="2" t="s">
        <v>8</v>
      </c>
      <c r="B6" s="1" t="s">
        <v>19</v>
      </c>
      <c r="C6" s="1" t="s">
        <v>10</v>
      </c>
      <c r="D6" s="1">
        <v>0.5</v>
      </c>
      <c r="E6" s="3"/>
      <c r="F6" s="3">
        <f t="shared" si="1"/>
        <v>0</v>
      </c>
    </row>
    <row r="7" ht="14.25" hidden="1" customHeight="1">
      <c r="A7" s="2" t="s">
        <v>20</v>
      </c>
      <c r="B7" s="1" t="s">
        <v>21</v>
      </c>
      <c r="C7" s="1" t="s">
        <v>13</v>
      </c>
      <c r="D7" s="1">
        <v>0.6</v>
      </c>
      <c r="E7" s="3">
        <v>7000.0</v>
      </c>
      <c r="F7" s="3">
        <f t="shared" si="1"/>
        <v>4200</v>
      </c>
    </row>
    <row r="8" ht="14.25" hidden="1" customHeight="1">
      <c r="A8" s="2" t="s">
        <v>17</v>
      </c>
      <c r="B8" s="1" t="s">
        <v>22</v>
      </c>
      <c r="C8" s="1" t="s">
        <v>13</v>
      </c>
      <c r="D8" s="1">
        <v>0.9</v>
      </c>
      <c r="E8" s="3">
        <v>6444.0</v>
      </c>
      <c r="F8" s="3">
        <f t="shared" si="1"/>
        <v>5799.6</v>
      </c>
    </row>
    <row r="9" ht="14.25" hidden="1" customHeight="1">
      <c r="A9" s="2" t="s">
        <v>8</v>
      </c>
      <c r="B9" s="1" t="s">
        <v>23</v>
      </c>
      <c r="C9" s="1" t="s">
        <v>10</v>
      </c>
      <c r="D9" s="1">
        <v>0.9</v>
      </c>
      <c r="E9" s="3">
        <v>23900.0</v>
      </c>
      <c r="F9" s="3">
        <f t="shared" si="1"/>
        <v>21510</v>
      </c>
    </row>
    <row r="10" ht="14.25" hidden="1" customHeight="1">
      <c r="A10" s="2" t="s">
        <v>25</v>
      </c>
      <c r="B10" s="1" t="s">
        <v>26</v>
      </c>
      <c r="C10" s="1" t="s">
        <v>10</v>
      </c>
      <c r="D10" s="1">
        <v>1.0</v>
      </c>
      <c r="E10" s="3">
        <f>550*150</f>
        <v>82500</v>
      </c>
      <c r="F10" s="3">
        <f t="shared" si="1"/>
        <v>82500</v>
      </c>
    </row>
    <row r="11" ht="14.25" hidden="1" customHeight="1">
      <c r="A11" s="2" t="s">
        <v>8</v>
      </c>
      <c r="B11" s="1" t="s">
        <v>27</v>
      </c>
      <c r="C11" s="1" t="s">
        <v>10</v>
      </c>
      <c r="D11" s="1">
        <v>1.2</v>
      </c>
      <c r="E11" s="3">
        <v>21900.0</v>
      </c>
      <c r="F11" s="3">
        <f t="shared" si="1"/>
        <v>26280</v>
      </c>
    </row>
    <row r="12" ht="14.25" hidden="1" customHeight="1">
      <c r="A12" s="2" t="s">
        <v>14</v>
      </c>
      <c r="B12" s="1" t="s">
        <v>28</v>
      </c>
      <c r="C12" s="1" t="s">
        <v>13</v>
      </c>
      <c r="D12" s="1">
        <v>1.49</v>
      </c>
      <c r="E12" s="3">
        <v>9990.0</v>
      </c>
      <c r="F12" s="3">
        <f t="shared" si="1"/>
        <v>14885.1</v>
      </c>
    </row>
    <row r="13" ht="14.25" hidden="1" customHeight="1">
      <c r="A13" s="2" t="s">
        <v>14</v>
      </c>
      <c r="B13" s="1" t="s">
        <v>29</v>
      </c>
      <c r="C13" s="1" t="s">
        <v>10</v>
      </c>
      <c r="D13" s="1">
        <v>2.0</v>
      </c>
      <c r="E13" s="3">
        <v>1400.0</v>
      </c>
      <c r="F13" s="3">
        <f t="shared" si="1"/>
        <v>2800</v>
      </c>
    </row>
    <row r="14" ht="14.25" hidden="1" customHeight="1">
      <c r="A14" s="2" t="s">
        <v>30</v>
      </c>
      <c r="B14" s="1" t="s">
        <v>31</v>
      </c>
      <c r="C14" s="1" t="s">
        <v>13</v>
      </c>
      <c r="D14" s="1">
        <v>2.0</v>
      </c>
      <c r="E14" s="3">
        <v>2700.0</v>
      </c>
      <c r="F14" s="3">
        <f t="shared" si="1"/>
        <v>5400</v>
      </c>
    </row>
    <row r="15" ht="14.25" hidden="1" customHeight="1">
      <c r="A15" s="2" t="s">
        <v>25</v>
      </c>
      <c r="B15" s="1" t="s">
        <v>33</v>
      </c>
      <c r="C15" s="1" t="s">
        <v>10</v>
      </c>
      <c r="D15" s="1">
        <v>2.0</v>
      </c>
      <c r="E15" s="3">
        <v>325.0</v>
      </c>
      <c r="F15" s="3">
        <f t="shared" si="1"/>
        <v>650</v>
      </c>
    </row>
    <row r="16" ht="14.25" hidden="1" customHeight="1">
      <c r="A16" s="2" t="s">
        <v>34</v>
      </c>
      <c r="B16" s="1" t="s">
        <v>35</v>
      </c>
      <c r="C16" s="1" t="s">
        <v>10</v>
      </c>
      <c r="D16" s="1">
        <v>2.0</v>
      </c>
      <c r="E16" s="3">
        <v>3500.0</v>
      </c>
      <c r="F16" s="3">
        <f t="shared" si="1"/>
        <v>7000</v>
      </c>
    </row>
    <row r="17" ht="14.25" hidden="1" customHeight="1">
      <c r="A17" s="2" t="s">
        <v>36</v>
      </c>
      <c r="B17" s="1" t="s">
        <v>37</v>
      </c>
      <c r="C17" s="1" t="s">
        <v>10</v>
      </c>
      <c r="D17" s="1">
        <v>2.0</v>
      </c>
      <c r="E17" s="3"/>
      <c r="F17" s="3">
        <f t="shared" si="1"/>
        <v>0</v>
      </c>
    </row>
    <row r="18" ht="14.25" customHeight="1">
      <c r="A18" s="2" t="s">
        <v>38</v>
      </c>
      <c r="B18" s="1" t="s">
        <v>39</v>
      </c>
      <c r="C18" s="1" t="s">
        <v>10</v>
      </c>
      <c r="D18" s="1">
        <v>2.0</v>
      </c>
      <c r="E18" s="3"/>
      <c r="F18" s="3">
        <f t="shared" si="1"/>
        <v>0</v>
      </c>
    </row>
    <row r="19" ht="14.25" hidden="1" customHeight="1">
      <c r="A19" s="2" t="s">
        <v>17</v>
      </c>
      <c r="B19" s="1" t="s">
        <v>40</v>
      </c>
      <c r="C19" s="1" t="s">
        <v>13</v>
      </c>
      <c r="D19" s="1">
        <v>2.35</v>
      </c>
      <c r="E19" s="3">
        <v>14300.0</v>
      </c>
      <c r="F19" s="3">
        <f t="shared" si="1"/>
        <v>33605</v>
      </c>
    </row>
    <row r="20" ht="14.25" hidden="1" customHeight="1">
      <c r="A20" s="2" t="s">
        <v>17</v>
      </c>
      <c r="B20" s="1" t="s">
        <v>41</v>
      </c>
      <c r="C20" s="1" t="s">
        <v>13</v>
      </c>
      <c r="D20" s="1">
        <f>0.3*8</f>
        <v>2.4</v>
      </c>
      <c r="E20" s="3"/>
      <c r="F20" s="3">
        <f t="shared" si="1"/>
        <v>0</v>
      </c>
    </row>
    <row r="21" ht="14.25" hidden="1" customHeight="1">
      <c r="A21" s="2" t="s">
        <v>17</v>
      </c>
      <c r="B21" s="1" t="s">
        <v>44</v>
      </c>
      <c r="C21" s="1" t="s">
        <v>13</v>
      </c>
      <c r="D21" s="1">
        <f>12*0.2</f>
        <v>2.4</v>
      </c>
      <c r="E21" s="3">
        <v>13390.0</v>
      </c>
      <c r="F21" s="3">
        <f t="shared" si="1"/>
        <v>32136</v>
      </c>
    </row>
    <row r="22" ht="14.25" hidden="1" customHeight="1">
      <c r="A22" s="2" t="s">
        <v>25</v>
      </c>
      <c r="B22" s="1" t="s">
        <v>46</v>
      </c>
      <c r="C22" s="1" t="s">
        <v>10</v>
      </c>
      <c r="D22" s="1">
        <v>2.5</v>
      </c>
      <c r="E22" s="3">
        <v>1154.0</v>
      </c>
      <c r="F22" s="3">
        <f t="shared" si="1"/>
        <v>2885</v>
      </c>
    </row>
    <row r="23" ht="14.25" hidden="1" customHeight="1">
      <c r="A23" s="2" t="s">
        <v>17</v>
      </c>
      <c r="B23" s="1" t="s">
        <v>47</v>
      </c>
      <c r="C23" s="1" t="s">
        <v>10</v>
      </c>
      <c r="D23" s="1">
        <f>17*0.2</f>
        <v>3.4</v>
      </c>
      <c r="E23" s="3">
        <v>11790.0</v>
      </c>
      <c r="F23" s="3">
        <f t="shared" si="1"/>
        <v>40086</v>
      </c>
    </row>
    <row r="24" ht="14.25" hidden="1" customHeight="1">
      <c r="A24" s="2" t="s">
        <v>48</v>
      </c>
      <c r="B24" s="1" t="s">
        <v>49</v>
      </c>
      <c r="C24" s="1" t="s">
        <v>10</v>
      </c>
      <c r="D24" s="1">
        <v>3.5</v>
      </c>
      <c r="E24" s="3">
        <v>495.0</v>
      </c>
      <c r="F24" s="3">
        <f t="shared" si="1"/>
        <v>1732.5</v>
      </c>
    </row>
    <row r="25" ht="14.25" hidden="1" customHeight="1">
      <c r="A25" s="2" t="s">
        <v>17</v>
      </c>
      <c r="B25" s="1" t="s">
        <v>50</v>
      </c>
      <c r="C25" s="1" t="s">
        <v>13</v>
      </c>
      <c r="D25" s="1">
        <v>3.91</v>
      </c>
      <c r="E25" s="3">
        <v>12400.0</v>
      </c>
      <c r="F25" s="3">
        <f t="shared" si="1"/>
        <v>48484</v>
      </c>
    </row>
    <row r="26" ht="14.25" hidden="1" customHeight="1">
      <c r="A26" s="2" t="s">
        <v>30</v>
      </c>
      <c r="B26" s="1" t="s">
        <v>52</v>
      </c>
      <c r="C26" s="1" t="s">
        <v>13</v>
      </c>
      <c r="D26" s="1">
        <v>4.0</v>
      </c>
      <c r="E26" s="3">
        <v>5800.0</v>
      </c>
      <c r="F26" s="3">
        <f t="shared" si="1"/>
        <v>23200</v>
      </c>
    </row>
    <row r="27" ht="14.25" hidden="1" customHeight="1">
      <c r="A27" s="2" t="s">
        <v>11</v>
      </c>
      <c r="B27" s="1" t="s">
        <v>53</v>
      </c>
      <c r="C27" s="1" t="s">
        <v>13</v>
      </c>
      <c r="D27" s="1">
        <v>4.0</v>
      </c>
      <c r="E27" s="3">
        <v>3600.0</v>
      </c>
      <c r="F27" s="3">
        <f t="shared" si="1"/>
        <v>14400</v>
      </c>
    </row>
    <row r="28" ht="14.25" hidden="1" customHeight="1">
      <c r="A28" s="2" t="s">
        <v>20</v>
      </c>
      <c r="B28" s="1" t="s">
        <v>54</v>
      </c>
      <c r="C28" s="1" t="s">
        <v>13</v>
      </c>
      <c r="D28" s="1">
        <v>4.0</v>
      </c>
      <c r="E28" s="3">
        <v>639.0</v>
      </c>
      <c r="F28" s="3">
        <f t="shared" si="1"/>
        <v>2556</v>
      </c>
    </row>
    <row r="29" ht="14.25" hidden="1" customHeight="1">
      <c r="A29" s="2" t="s">
        <v>17</v>
      </c>
      <c r="B29" s="1" t="s">
        <v>55</v>
      </c>
      <c r="C29" s="1" t="s">
        <v>13</v>
      </c>
      <c r="D29" s="1">
        <f>0.5*9</f>
        <v>4.5</v>
      </c>
      <c r="E29" s="3">
        <v>10990.0</v>
      </c>
      <c r="F29" s="3">
        <f t="shared" si="1"/>
        <v>49455</v>
      </c>
    </row>
    <row r="30" ht="14.25" hidden="1" customHeight="1">
      <c r="A30" s="2" t="s">
        <v>17</v>
      </c>
      <c r="B30" s="1" t="s">
        <v>57</v>
      </c>
      <c r="C30" s="1" t="s">
        <v>13</v>
      </c>
      <c r="D30" s="1">
        <v>4.675</v>
      </c>
      <c r="E30" s="3">
        <v>26950.0</v>
      </c>
      <c r="F30" s="3">
        <f t="shared" si="1"/>
        <v>125991.25</v>
      </c>
    </row>
    <row r="31" ht="14.25" hidden="1" customHeight="1">
      <c r="A31" s="2" t="s">
        <v>20</v>
      </c>
      <c r="B31" s="1" t="s">
        <v>58</v>
      </c>
      <c r="C31" s="1" t="s">
        <v>10</v>
      </c>
      <c r="D31" s="1">
        <v>5.0</v>
      </c>
      <c r="E31" s="3">
        <v>500.0</v>
      </c>
      <c r="F31" s="3">
        <f t="shared" si="1"/>
        <v>2500</v>
      </c>
    </row>
    <row r="32" ht="14.25" customHeight="1">
      <c r="A32" s="2" t="s">
        <v>38</v>
      </c>
      <c r="B32" s="1" t="s">
        <v>59</v>
      </c>
      <c r="C32" s="1" t="s">
        <v>10</v>
      </c>
      <c r="D32" s="1">
        <v>5.0</v>
      </c>
      <c r="E32" s="3"/>
      <c r="F32" s="3">
        <f t="shared" si="1"/>
        <v>0</v>
      </c>
    </row>
    <row r="33" ht="14.25" hidden="1" customHeight="1">
      <c r="A33" s="2" t="s">
        <v>17</v>
      </c>
      <c r="B33" s="1" t="s">
        <v>60</v>
      </c>
      <c r="C33" s="1" t="s">
        <v>13</v>
      </c>
      <c r="D33" s="1">
        <v>5.265</v>
      </c>
      <c r="E33" s="3">
        <v>25490.0</v>
      </c>
      <c r="F33" s="3">
        <f t="shared" si="1"/>
        <v>134204.85</v>
      </c>
    </row>
    <row r="34" ht="14.25" hidden="1" customHeight="1">
      <c r="A34" s="2" t="s">
        <v>30</v>
      </c>
      <c r="B34" s="1" t="s">
        <v>62</v>
      </c>
      <c r="C34" s="1" t="s">
        <v>13</v>
      </c>
      <c r="D34" s="1">
        <v>6.0</v>
      </c>
      <c r="E34" s="3">
        <v>6500.0</v>
      </c>
      <c r="F34" s="3">
        <f t="shared" si="1"/>
        <v>39000</v>
      </c>
    </row>
    <row r="35" ht="14.25" hidden="1" customHeight="1">
      <c r="A35" s="2" t="s">
        <v>30</v>
      </c>
      <c r="B35" s="1" t="s">
        <v>63</v>
      </c>
      <c r="C35" s="1" t="s">
        <v>13</v>
      </c>
      <c r="D35" s="1">
        <v>6.0</v>
      </c>
      <c r="E35" s="3">
        <v>4800.0</v>
      </c>
      <c r="F35" s="3">
        <f t="shared" si="1"/>
        <v>28800</v>
      </c>
    </row>
    <row r="36" ht="14.25" hidden="1" customHeight="1">
      <c r="A36" s="2" t="s">
        <v>17</v>
      </c>
      <c r="B36" s="1" t="s">
        <v>64</v>
      </c>
      <c r="C36" s="1" t="s">
        <v>13</v>
      </c>
      <c r="D36" s="1">
        <v>6.655</v>
      </c>
      <c r="E36" s="3"/>
      <c r="F36" s="3">
        <f t="shared" si="1"/>
        <v>0</v>
      </c>
    </row>
    <row r="37" ht="14.25" hidden="1" customHeight="1">
      <c r="A37" s="2" t="s">
        <v>65</v>
      </c>
      <c r="B37" s="1" t="s">
        <v>66</v>
      </c>
      <c r="C37" s="1" t="s">
        <v>13</v>
      </c>
      <c r="D37" s="1">
        <v>7.0</v>
      </c>
      <c r="E37" s="3">
        <v>8500.0</v>
      </c>
      <c r="F37" s="3">
        <f t="shared" si="1"/>
        <v>59500</v>
      </c>
    </row>
    <row r="38" ht="14.25" hidden="1" customHeight="1">
      <c r="A38" s="2" t="s">
        <v>17</v>
      </c>
      <c r="B38" s="1" t="s">
        <v>67</v>
      </c>
      <c r="C38" s="1" t="s">
        <v>13</v>
      </c>
      <c r="D38" s="1">
        <v>7.185</v>
      </c>
      <c r="E38" s="3">
        <v>11990.0</v>
      </c>
      <c r="F38" s="3">
        <f t="shared" si="1"/>
        <v>86148.15</v>
      </c>
    </row>
    <row r="39" ht="14.25" hidden="1" customHeight="1">
      <c r="A39" s="2" t="s">
        <v>69</v>
      </c>
      <c r="B39" s="1" t="s">
        <v>70</v>
      </c>
      <c r="C39" s="1" t="s">
        <v>13</v>
      </c>
      <c r="D39" s="1">
        <v>9.554</v>
      </c>
      <c r="E39" s="3">
        <v>9500.0</v>
      </c>
      <c r="F39" s="3">
        <f t="shared" si="1"/>
        <v>90763</v>
      </c>
    </row>
    <row r="40" ht="14.25" customHeight="1">
      <c r="A40" s="2" t="s">
        <v>38</v>
      </c>
      <c r="B40" s="1" t="s">
        <v>71</v>
      </c>
      <c r="C40" s="1" t="s">
        <v>10</v>
      </c>
      <c r="D40" s="1">
        <v>10.0</v>
      </c>
      <c r="E40" s="3"/>
      <c r="F40" s="3">
        <f t="shared" si="1"/>
        <v>0</v>
      </c>
    </row>
    <row r="41" ht="14.25" hidden="1" customHeight="1">
      <c r="A41" s="2" t="s">
        <v>14</v>
      </c>
      <c r="B41" s="1" t="s">
        <v>72</v>
      </c>
      <c r="C41" s="1" t="s">
        <v>10</v>
      </c>
      <c r="D41" s="1">
        <v>11.0</v>
      </c>
      <c r="E41" s="3">
        <v>1749.5</v>
      </c>
      <c r="F41" s="3">
        <f t="shared" si="1"/>
        <v>19244.5</v>
      </c>
    </row>
    <row r="42" ht="14.25" customHeight="1">
      <c r="A42" s="2" t="s">
        <v>38</v>
      </c>
      <c r="B42" s="1" t="s">
        <v>73</v>
      </c>
      <c r="C42" s="1" t="s">
        <v>10</v>
      </c>
      <c r="D42" s="1">
        <v>17.0</v>
      </c>
      <c r="E42" s="3"/>
      <c r="F42" s="3">
        <f t="shared" si="1"/>
        <v>0</v>
      </c>
    </row>
    <row r="43" ht="14.25" hidden="1" customHeight="1">
      <c r="A43" s="2" t="s">
        <v>17</v>
      </c>
      <c r="B43" s="1" t="s">
        <v>74</v>
      </c>
      <c r="C43" s="1" t="s">
        <v>13</v>
      </c>
      <c r="D43" s="1">
        <f>7.23+1.245+8.695</f>
        <v>17.17</v>
      </c>
      <c r="E43" s="3">
        <v>19990.0</v>
      </c>
      <c r="F43" s="3">
        <f t="shared" si="1"/>
        <v>343228.3</v>
      </c>
    </row>
    <row r="44" ht="14.25" hidden="1" customHeight="1">
      <c r="A44" s="2" t="s">
        <v>25</v>
      </c>
      <c r="B44" s="1" t="s">
        <v>75</v>
      </c>
      <c r="C44" s="1" t="s">
        <v>10</v>
      </c>
      <c r="D44" s="1">
        <v>19.0</v>
      </c>
      <c r="E44" s="3">
        <v>325.0</v>
      </c>
      <c r="F44" s="3">
        <f t="shared" si="1"/>
        <v>6175</v>
      </c>
    </row>
    <row r="45" ht="14.25" customHeight="1">
      <c r="A45" s="2" t="s">
        <v>38</v>
      </c>
      <c r="B45" s="1" t="s">
        <v>76</v>
      </c>
      <c r="C45" s="1" t="s">
        <v>10</v>
      </c>
      <c r="D45" s="1">
        <v>32.0</v>
      </c>
      <c r="E45" s="3"/>
      <c r="F45" s="3">
        <f t="shared" si="1"/>
        <v>0</v>
      </c>
    </row>
    <row r="46" ht="14.25" customHeight="1">
      <c r="A46" s="2" t="s">
        <v>38</v>
      </c>
      <c r="B46" s="1" t="s">
        <v>77</v>
      </c>
      <c r="C46" s="1" t="s">
        <v>10</v>
      </c>
      <c r="D46" s="1">
        <v>34.0</v>
      </c>
      <c r="E46" s="3"/>
      <c r="F46" s="3">
        <f t="shared" si="1"/>
        <v>0</v>
      </c>
    </row>
    <row r="47" ht="14.25" customHeight="1">
      <c r="A47" s="2" t="s">
        <v>38</v>
      </c>
      <c r="B47" s="1" t="s">
        <v>78</v>
      </c>
      <c r="C47" s="1" t="s">
        <v>10</v>
      </c>
      <c r="D47" s="1">
        <v>38.0</v>
      </c>
      <c r="E47" s="3"/>
      <c r="F47" s="3">
        <f t="shared" si="1"/>
        <v>0</v>
      </c>
    </row>
    <row r="48" ht="14.25" hidden="1" customHeight="1">
      <c r="A48" s="2" t="s">
        <v>17</v>
      </c>
      <c r="B48" s="1" t="s">
        <v>79</v>
      </c>
      <c r="C48" s="1" t="s">
        <v>10</v>
      </c>
      <c r="D48" s="1">
        <v>42.0</v>
      </c>
      <c r="E48" s="3">
        <v>195.0</v>
      </c>
      <c r="F48" s="3">
        <f t="shared" si="1"/>
        <v>8190</v>
      </c>
    </row>
    <row r="49" ht="14.25" hidden="1" customHeight="1">
      <c r="A49" s="2" t="s">
        <v>25</v>
      </c>
      <c r="B49" s="1" t="s">
        <v>81</v>
      </c>
      <c r="C49" s="1" t="s">
        <v>10</v>
      </c>
      <c r="D49" s="1">
        <v>43.0</v>
      </c>
      <c r="E49" s="3">
        <v>325.0</v>
      </c>
      <c r="F49" s="3">
        <f t="shared" si="1"/>
        <v>13975</v>
      </c>
    </row>
    <row r="50" ht="14.25" hidden="1" customHeight="1">
      <c r="A50" s="2" t="s">
        <v>25</v>
      </c>
      <c r="B50" s="1" t="s">
        <v>82</v>
      </c>
      <c r="C50" s="1" t="s">
        <v>10</v>
      </c>
      <c r="D50" s="1">
        <v>770.0</v>
      </c>
      <c r="E50" s="3"/>
      <c r="F50" s="3">
        <f t="shared" si="1"/>
        <v>0</v>
      </c>
    </row>
    <row r="51" ht="14.25" hidden="1" customHeight="1">
      <c r="A51" s="2" t="s">
        <v>25</v>
      </c>
      <c r="B51" s="1" t="s">
        <v>83</v>
      </c>
      <c r="C51" s="1" t="s">
        <v>10</v>
      </c>
      <c r="E51" s="3">
        <v>23850.0</v>
      </c>
      <c r="F51" s="3">
        <f t="shared" si="1"/>
        <v>0</v>
      </c>
    </row>
    <row r="52" ht="14.25" hidden="1" customHeight="1">
      <c r="A52" s="2" t="s">
        <v>25</v>
      </c>
      <c r="B52" s="1" t="s">
        <v>84</v>
      </c>
      <c r="C52" s="1" t="s">
        <v>13</v>
      </c>
      <c r="E52" s="3">
        <v>21080.0</v>
      </c>
      <c r="F52" s="3">
        <f t="shared" si="1"/>
        <v>0</v>
      </c>
    </row>
    <row r="53" ht="14.25" hidden="1" customHeight="1">
      <c r="A53" s="2" t="s">
        <v>86</v>
      </c>
      <c r="B53" s="1" t="s">
        <v>87</v>
      </c>
      <c r="C53" s="1" t="s">
        <v>88</v>
      </c>
      <c r="E53" s="3">
        <v>940.0</v>
      </c>
      <c r="F53" s="3">
        <f t="shared" si="1"/>
        <v>0</v>
      </c>
    </row>
    <row r="54" ht="14.25" hidden="1" customHeight="1">
      <c r="A54" s="2" t="s">
        <v>25</v>
      </c>
      <c r="B54" s="1" t="s">
        <v>89</v>
      </c>
      <c r="C54" s="1" t="s">
        <v>13</v>
      </c>
      <c r="E54" s="3">
        <v>16845.0</v>
      </c>
      <c r="F54" s="3">
        <f t="shared" si="1"/>
        <v>0</v>
      </c>
    </row>
    <row r="55" ht="14.25" hidden="1" customHeight="1">
      <c r="A55" s="2" t="s">
        <v>17</v>
      </c>
      <c r="B55" s="1" t="s">
        <v>90</v>
      </c>
      <c r="C55" s="1" t="s">
        <v>13</v>
      </c>
      <c r="E55" s="3">
        <v>7100.0</v>
      </c>
      <c r="F55" s="3">
        <f t="shared" si="1"/>
        <v>0</v>
      </c>
    </row>
    <row r="56" ht="14.25" hidden="1" customHeight="1">
      <c r="A56" s="2" t="s">
        <v>17</v>
      </c>
      <c r="B56" s="1" t="s">
        <v>91</v>
      </c>
      <c r="C56" s="1" t="s">
        <v>13</v>
      </c>
      <c r="E56" s="3">
        <v>16776.0</v>
      </c>
      <c r="F56" s="3">
        <f t="shared" si="1"/>
        <v>0</v>
      </c>
    </row>
    <row r="57" ht="14.25" hidden="1" customHeight="1">
      <c r="A57" s="2" t="s">
        <v>86</v>
      </c>
      <c r="B57" s="1" t="s">
        <v>93</v>
      </c>
      <c r="C57" s="1" t="s">
        <v>88</v>
      </c>
      <c r="E57" s="3">
        <v>766.0</v>
      </c>
      <c r="F57" s="3">
        <f t="shared" si="1"/>
        <v>0</v>
      </c>
    </row>
    <row r="58" ht="14.25" hidden="1" customHeight="1">
      <c r="A58" s="2" t="s">
        <v>25</v>
      </c>
      <c r="B58" s="1" t="s">
        <v>94</v>
      </c>
      <c r="C58" s="1" t="s">
        <v>10</v>
      </c>
      <c r="E58" s="3">
        <v>281.0</v>
      </c>
      <c r="F58" s="3">
        <f t="shared" si="1"/>
        <v>0</v>
      </c>
    </row>
    <row r="59" ht="14.25" hidden="1" customHeight="1">
      <c r="A59" s="2" t="s">
        <v>17</v>
      </c>
      <c r="B59" s="1" t="s">
        <v>95</v>
      </c>
      <c r="C59" s="1" t="s">
        <v>13</v>
      </c>
      <c r="E59" s="3">
        <v>9820.0</v>
      </c>
      <c r="F59" s="3">
        <f t="shared" si="1"/>
        <v>0</v>
      </c>
    </row>
    <row r="60" ht="14.25" hidden="1" customHeight="1">
      <c r="A60" s="2" t="s">
        <v>96</v>
      </c>
      <c r="B60" s="1" t="s">
        <v>97</v>
      </c>
      <c r="C60" s="1" t="s">
        <v>13</v>
      </c>
      <c r="E60" s="3">
        <v>20500.0</v>
      </c>
      <c r="F60" s="3">
        <f t="shared" si="1"/>
        <v>0</v>
      </c>
    </row>
    <row r="61" ht="14.25" hidden="1" customHeight="1">
      <c r="A61" s="2" t="s">
        <v>17</v>
      </c>
      <c r="B61" s="1" t="s">
        <v>99</v>
      </c>
      <c r="C61" s="1" t="s">
        <v>13</v>
      </c>
      <c r="E61" s="3">
        <v>13000.0</v>
      </c>
      <c r="F61" s="3">
        <f t="shared" si="1"/>
        <v>0</v>
      </c>
    </row>
    <row r="62" ht="14.25" hidden="1" customHeight="1">
      <c r="A62" s="2" t="s">
        <v>86</v>
      </c>
      <c r="B62" s="1" t="s">
        <v>100</v>
      </c>
      <c r="C62" s="1" t="s">
        <v>88</v>
      </c>
      <c r="E62" s="3">
        <v>6578.0</v>
      </c>
      <c r="F62" s="3">
        <f t="shared" si="1"/>
        <v>0</v>
      </c>
    </row>
    <row r="63" ht="14.25" hidden="1" customHeight="1">
      <c r="A63" s="2" t="s">
        <v>30</v>
      </c>
      <c r="B63" s="1" t="s">
        <v>101</v>
      </c>
      <c r="C63" s="1" t="s">
        <v>13</v>
      </c>
      <c r="E63" s="3">
        <v>3900.0</v>
      </c>
      <c r="F63" s="3">
        <f t="shared" si="1"/>
        <v>0</v>
      </c>
    </row>
    <row r="64" ht="14.25" hidden="1" customHeight="1">
      <c r="A64" s="2" t="s">
        <v>30</v>
      </c>
      <c r="B64" s="1" t="s">
        <v>103</v>
      </c>
      <c r="C64" s="1" t="s">
        <v>13</v>
      </c>
      <c r="E64" s="3">
        <v>2880.0</v>
      </c>
      <c r="F64" s="3">
        <f t="shared" si="1"/>
        <v>0</v>
      </c>
    </row>
    <row r="65" ht="14.25" hidden="1" customHeight="1">
      <c r="A65" s="2" t="s">
        <v>14</v>
      </c>
      <c r="B65" s="1" t="s">
        <v>104</v>
      </c>
      <c r="C65" s="1" t="s">
        <v>10</v>
      </c>
      <c r="E65" s="3">
        <v>4750.0</v>
      </c>
      <c r="F65" s="3">
        <f t="shared" si="1"/>
        <v>0</v>
      </c>
    </row>
    <row r="66" ht="14.25" hidden="1" customHeight="1">
      <c r="A66" s="2" t="s">
        <v>20</v>
      </c>
      <c r="B66" s="1" t="s">
        <v>105</v>
      </c>
      <c r="C66" s="1" t="s">
        <v>13</v>
      </c>
      <c r="E66" s="3">
        <v>1700.0</v>
      </c>
      <c r="F66" s="3">
        <f t="shared" si="1"/>
        <v>0</v>
      </c>
    </row>
    <row r="67" ht="14.25" hidden="1" customHeight="1">
      <c r="A67" s="2" t="s">
        <v>48</v>
      </c>
      <c r="B67" s="1" t="s">
        <v>106</v>
      </c>
      <c r="C67" s="1" t="s">
        <v>10</v>
      </c>
      <c r="E67" s="3">
        <v>9875.0</v>
      </c>
      <c r="F67" s="3">
        <f t="shared" si="1"/>
        <v>0</v>
      </c>
    </row>
    <row r="68" ht="14.25" hidden="1" customHeight="1">
      <c r="A68" s="2" t="s">
        <v>36</v>
      </c>
      <c r="B68" s="1" t="s">
        <v>107</v>
      </c>
      <c r="C68" s="1" t="s">
        <v>10</v>
      </c>
      <c r="E68" s="3">
        <v>39000.0</v>
      </c>
      <c r="F68" s="3">
        <f t="shared" si="1"/>
        <v>0</v>
      </c>
    </row>
    <row r="69" ht="14.25" hidden="1" customHeight="1">
      <c r="A69" s="2" t="s">
        <v>17</v>
      </c>
      <c r="B69" s="1" t="s">
        <v>109</v>
      </c>
      <c r="C69" s="1" t="s">
        <v>10</v>
      </c>
      <c r="E69" s="3">
        <v>12990.0</v>
      </c>
      <c r="F69" s="3">
        <f t="shared" si="1"/>
        <v>0</v>
      </c>
    </row>
    <row r="70" ht="14.25" hidden="1" customHeight="1">
      <c r="A70" s="2" t="s">
        <v>20</v>
      </c>
      <c r="B70" s="1" t="s">
        <v>110</v>
      </c>
      <c r="C70" s="1" t="s">
        <v>13</v>
      </c>
      <c r="E70" s="3">
        <v>7500.0</v>
      </c>
      <c r="F70" s="3">
        <f t="shared" si="1"/>
        <v>0</v>
      </c>
    </row>
    <row r="71" ht="14.25" hidden="1" customHeight="1">
      <c r="A71" s="2" t="s">
        <v>86</v>
      </c>
      <c r="B71" s="1" t="s">
        <v>111</v>
      </c>
      <c r="C71" s="1" t="s">
        <v>88</v>
      </c>
      <c r="E71" s="3">
        <v>230.0</v>
      </c>
      <c r="F71" s="3">
        <f t="shared" si="1"/>
        <v>0</v>
      </c>
    </row>
    <row r="72" ht="14.25" hidden="1" customHeight="1">
      <c r="A72" s="2" t="s">
        <v>11</v>
      </c>
      <c r="B72" s="1" t="s">
        <v>32</v>
      </c>
      <c r="C72" s="1" t="s">
        <v>10</v>
      </c>
      <c r="E72" s="3">
        <v>15850.0</v>
      </c>
      <c r="F72" s="3">
        <f t="shared" si="1"/>
        <v>0</v>
      </c>
    </row>
    <row r="73" ht="14.25" hidden="1" customHeight="1">
      <c r="A73" s="2" t="s">
        <v>20</v>
      </c>
      <c r="B73" s="1" t="s">
        <v>112</v>
      </c>
      <c r="C73" s="1" t="s">
        <v>13</v>
      </c>
      <c r="E73" s="3">
        <v>3500.0</v>
      </c>
      <c r="F73" s="3">
        <f t="shared" si="1"/>
        <v>0</v>
      </c>
    </row>
    <row r="74" ht="14.25" hidden="1" customHeight="1">
      <c r="A74" s="2" t="s">
        <v>11</v>
      </c>
      <c r="B74" s="1" t="s">
        <v>113</v>
      </c>
      <c r="C74" s="1" t="s">
        <v>10</v>
      </c>
      <c r="E74" s="3">
        <v>125.0</v>
      </c>
      <c r="F74" s="3">
        <f t="shared" si="1"/>
        <v>0</v>
      </c>
    </row>
    <row r="75" ht="14.25" hidden="1" customHeight="1">
      <c r="A75" s="2" t="s">
        <v>14</v>
      </c>
      <c r="B75" s="1" t="s">
        <v>114</v>
      </c>
      <c r="C75" s="1" t="s">
        <v>13</v>
      </c>
      <c r="E75" s="3">
        <v>18000.0</v>
      </c>
      <c r="F75" s="3">
        <f t="shared" si="1"/>
        <v>0</v>
      </c>
    </row>
    <row r="76" ht="14.25" hidden="1" customHeight="1">
      <c r="A76" s="2" t="s">
        <v>20</v>
      </c>
      <c r="B76" s="1" t="s">
        <v>116</v>
      </c>
      <c r="C76" s="1" t="s">
        <v>13</v>
      </c>
      <c r="E76" s="3">
        <v>800.0</v>
      </c>
      <c r="F76" s="3">
        <f t="shared" si="1"/>
        <v>0</v>
      </c>
    </row>
    <row r="77" ht="14.25" hidden="1" customHeight="1">
      <c r="A77" s="2" t="s">
        <v>20</v>
      </c>
      <c r="B77" s="1" t="s">
        <v>117</v>
      </c>
      <c r="C77" s="1" t="s">
        <v>13</v>
      </c>
      <c r="E77" s="3">
        <v>913.0</v>
      </c>
      <c r="F77" s="3">
        <f t="shared" si="1"/>
        <v>0</v>
      </c>
    </row>
    <row r="78" ht="14.25" hidden="1" customHeight="1">
      <c r="A78" s="2" t="s">
        <v>25</v>
      </c>
      <c r="B78" s="1" t="s">
        <v>118</v>
      </c>
      <c r="C78" s="1" t="s">
        <v>10</v>
      </c>
      <c r="E78" s="3">
        <v>12171.0</v>
      </c>
      <c r="F78" s="3">
        <f t="shared" si="1"/>
        <v>0</v>
      </c>
    </row>
    <row r="79" ht="14.25" hidden="1" customHeight="1">
      <c r="A79" s="2" t="s">
        <v>30</v>
      </c>
      <c r="B79" s="1" t="s">
        <v>119</v>
      </c>
      <c r="C79" s="1" t="s">
        <v>13</v>
      </c>
      <c r="E79" s="3">
        <v>2800.0</v>
      </c>
      <c r="F79" s="3">
        <f t="shared" si="1"/>
        <v>0</v>
      </c>
    </row>
    <row r="80" ht="14.25" hidden="1" customHeight="1">
      <c r="A80" s="2" t="s">
        <v>11</v>
      </c>
      <c r="B80" s="1" t="s">
        <v>12</v>
      </c>
      <c r="C80" s="1" t="s">
        <v>13</v>
      </c>
      <c r="E80" s="3">
        <v>22060.0</v>
      </c>
      <c r="F80" s="3">
        <f t="shared" si="1"/>
        <v>0</v>
      </c>
    </row>
    <row r="81" ht="14.25" hidden="1" customHeight="1">
      <c r="A81" s="2" t="s">
        <v>30</v>
      </c>
      <c r="B81" s="1" t="s">
        <v>121</v>
      </c>
      <c r="C81" s="1" t="s">
        <v>10</v>
      </c>
      <c r="E81" s="3">
        <v>4060.0</v>
      </c>
      <c r="F81" s="3">
        <f t="shared" si="1"/>
        <v>0</v>
      </c>
    </row>
    <row r="82" ht="14.25" hidden="1" customHeight="1">
      <c r="A82" s="2" t="s">
        <v>25</v>
      </c>
      <c r="B82" s="1" t="s">
        <v>122</v>
      </c>
      <c r="C82" s="1" t="s">
        <v>10</v>
      </c>
      <c r="E82" s="3">
        <v>325.0</v>
      </c>
      <c r="F82" s="3">
        <f t="shared" si="1"/>
        <v>0</v>
      </c>
    </row>
    <row r="83" ht="14.25" hidden="1" customHeight="1">
      <c r="A83" s="2" t="s">
        <v>48</v>
      </c>
      <c r="B83" s="1" t="s">
        <v>123</v>
      </c>
      <c r="C83" s="1" t="s">
        <v>124</v>
      </c>
      <c r="E83" s="3">
        <v>9000.0</v>
      </c>
      <c r="F83" s="3">
        <f t="shared" si="1"/>
        <v>0</v>
      </c>
    </row>
    <row r="84" ht="14.25" hidden="1" customHeight="1">
      <c r="A84" s="2" t="s">
        <v>20</v>
      </c>
      <c r="B84" s="1" t="s">
        <v>126</v>
      </c>
      <c r="C84" s="1" t="s">
        <v>10</v>
      </c>
      <c r="E84" s="3">
        <v>500.0</v>
      </c>
      <c r="F84" s="3">
        <f t="shared" si="1"/>
        <v>0</v>
      </c>
    </row>
    <row r="85" ht="14.25" hidden="1" customHeight="1">
      <c r="A85" s="2" t="s">
        <v>20</v>
      </c>
      <c r="B85" s="1" t="s">
        <v>127</v>
      </c>
      <c r="C85" s="1" t="s">
        <v>10</v>
      </c>
      <c r="E85" s="3">
        <v>900.0</v>
      </c>
      <c r="F85" s="3">
        <f t="shared" si="1"/>
        <v>0</v>
      </c>
    </row>
    <row r="86" ht="14.25" hidden="1" customHeight="1">
      <c r="A86" s="2" t="s">
        <v>11</v>
      </c>
      <c r="B86" s="1" t="s">
        <v>24</v>
      </c>
      <c r="C86" s="1" t="s">
        <v>10</v>
      </c>
      <c r="E86" s="3">
        <v>15980.0</v>
      </c>
      <c r="F86" s="3">
        <f t="shared" si="1"/>
        <v>0</v>
      </c>
    </row>
    <row r="87" ht="14.25" hidden="1" customHeight="1">
      <c r="A87" s="2" t="s">
        <v>36</v>
      </c>
      <c r="B87" s="1" t="s">
        <v>128</v>
      </c>
      <c r="C87" s="1" t="s">
        <v>10</v>
      </c>
      <c r="E87" s="3">
        <v>2658.0</v>
      </c>
      <c r="F87" s="3">
        <f t="shared" si="1"/>
        <v>0</v>
      </c>
    </row>
    <row r="88" ht="14.25" hidden="1" customHeight="1">
      <c r="A88" s="2" t="s">
        <v>14</v>
      </c>
      <c r="B88" s="1" t="s">
        <v>129</v>
      </c>
      <c r="C88" s="1" t="s">
        <v>10</v>
      </c>
      <c r="E88" s="3">
        <v>1760.0</v>
      </c>
      <c r="F88" s="3">
        <f t="shared" si="1"/>
        <v>0</v>
      </c>
    </row>
    <row r="89" ht="14.25" hidden="1" customHeight="1">
      <c r="A89" s="2" t="s">
        <v>20</v>
      </c>
      <c r="B89" s="1" t="s">
        <v>131</v>
      </c>
      <c r="C89" s="1" t="s">
        <v>10</v>
      </c>
      <c r="E89" s="3">
        <v>1100.0</v>
      </c>
      <c r="F89" s="3">
        <f t="shared" si="1"/>
        <v>0</v>
      </c>
    </row>
    <row r="90" ht="14.25" hidden="1" customHeight="1">
      <c r="A90" s="2" t="s">
        <v>14</v>
      </c>
      <c r="B90" s="1" t="s">
        <v>132</v>
      </c>
      <c r="C90" s="1" t="s">
        <v>10</v>
      </c>
      <c r="E90" s="3">
        <v>1530.0</v>
      </c>
      <c r="F90" s="3">
        <f t="shared" si="1"/>
        <v>0</v>
      </c>
    </row>
    <row r="91" ht="14.25" hidden="1" customHeight="1">
      <c r="A91" s="2" t="s">
        <v>30</v>
      </c>
      <c r="B91" s="1" t="s">
        <v>133</v>
      </c>
      <c r="C91" s="1" t="s">
        <v>13</v>
      </c>
      <c r="E91" s="3">
        <v>2520.0</v>
      </c>
      <c r="F91" s="3">
        <f t="shared" si="1"/>
        <v>0</v>
      </c>
    </row>
    <row r="92" ht="14.25" hidden="1" customHeight="1">
      <c r="A92" s="2" t="s">
        <v>14</v>
      </c>
      <c r="B92" s="1" t="s">
        <v>134</v>
      </c>
      <c r="C92" s="1" t="s">
        <v>13</v>
      </c>
      <c r="E92" s="3">
        <v>6176.0</v>
      </c>
      <c r="F92" s="3">
        <f t="shared" si="1"/>
        <v>0</v>
      </c>
    </row>
    <row r="93" ht="14.25" hidden="1" customHeight="1">
      <c r="A93" s="2" t="s">
        <v>86</v>
      </c>
      <c r="B93" s="1" t="s">
        <v>135</v>
      </c>
      <c r="C93" s="1" t="s">
        <v>136</v>
      </c>
      <c r="E93" s="3">
        <v>1640.0</v>
      </c>
      <c r="F93" s="3">
        <f t="shared" si="1"/>
        <v>0</v>
      </c>
    </row>
    <row r="94" ht="14.25" hidden="1" customHeight="1">
      <c r="A94" s="2" t="s">
        <v>25</v>
      </c>
      <c r="B94" s="1" t="s">
        <v>137</v>
      </c>
      <c r="C94" s="1" t="s">
        <v>10</v>
      </c>
      <c r="E94" s="3">
        <v>325.0</v>
      </c>
      <c r="F94" s="3">
        <f t="shared" si="1"/>
        <v>0</v>
      </c>
    </row>
    <row r="95" ht="14.25" hidden="1" customHeight="1">
      <c r="A95" s="2" t="s">
        <v>20</v>
      </c>
      <c r="B95" s="1" t="s">
        <v>139</v>
      </c>
      <c r="C95" s="1" t="s">
        <v>140</v>
      </c>
      <c r="E95" s="3">
        <v>12000.0</v>
      </c>
      <c r="F95" s="3">
        <f t="shared" si="1"/>
        <v>0</v>
      </c>
    </row>
    <row r="96" ht="14.25" hidden="1" customHeight="1">
      <c r="A96" s="2" t="s">
        <v>20</v>
      </c>
      <c r="B96" s="1" t="s">
        <v>141</v>
      </c>
      <c r="C96" s="1" t="s">
        <v>10</v>
      </c>
      <c r="E96" s="3">
        <v>600.0</v>
      </c>
      <c r="F96" s="3">
        <f t="shared" si="1"/>
        <v>0</v>
      </c>
    </row>
    <row r="97" ht="14.25" hidden="1" customHeight="1">
      <c r="A97" s="2" t="s">
        <v>20</v>
      </c>
      <c r="B97" s="1" t="s">
        <v>142</v>
      </c>
      <c r="C97" s="1" t="s">
        <v>13</v>
      </c>
      <c r="E97" s="3">
        <v>4990.0</v>
      </c>
      <c r="F97" s="3">
        <f t="shared" si="1"/>
        <v>0</v>
      </c>
    </row>
    <row r="98" ht="14.25" hidden="1" customHeight="1">
      <c r="A98" s="2" t="s">
        <v>34</v>
      </c>
      <c r="B98" s="1" t="s">
        <v>9</v>
      </c>
      <c r="C98" s="1" t="s">
        <v>13</v>
      </c>
      <c r="E98" s="3">
        <v>3800.0</v>
      </c>
      <c r="F98" s="3">
        <f t="shared" si="1"/>
        <v>0</v>
      </c>
    </row>
    <row r="99" ht="14.25" hidden="1" customHeight="1">
      <c r="A99" s="2" t="s">
        <v>11</v>
      </c>
      <c r="B99" s="1" t="s">
        <v>68</v>
      </c>
      <c r="C99" s="1" t="s">
        <v>10</v>
      </c>
      <c r="E99" s="3">
        <v>3780.0</v>
      </c>
      <c r="F99" s="3">
        <f t="shared" si="1"/>
        <v>0</v>
      </c>
    </row>
    <row r="100" ht="14.25" hidden="1" customHeight="1">
      <c r="A100" s="2" t="s">
        <v>11</v>
      </c>
      <c r="B100" s="1" t="s">
        <v>143</v>
      </c>
      <c r="C100" s="1" t="s">
        <v>10</v>
      </c>
      <c r="E100" s="3">
        <v>1889.0</v>
      </c>
      <c r="F100" s="3">
        <f t="shared" si="1"/>
        <v>0</v>
      </c>
    </row>
    <row r="101" ht="14.25" hidden="1" customHeight="1">
      <c r="A101" s="2" t="s">
        <v>86</v>
      </c>
      <c r="B101" s="1" t="s">
        <v>144</v>
      </c>
      <c r="C101" s="1" t="s">
        <v>88</v>
      </c>
      <c r="E101" s="3">
        <v>930.0</v>
      </c>
      <c r="F101" s="3">
        <f t="shared" si="1"/>
        <v>0</v>
      </c>
    </row>
    <row r="102" ht="14.25" hidden="1" customHeight="1">
      <c r="A102" s="2" t="s">
        <v>11</v>
      </c>
      <c r="B102" s="1" t="s">
        <v>115</v>
      </c>
      <c r="C102" s="1" t="s">
        <v>13</v>
      </c>
      <c r="E102" s="3">
        <v>2628.0</v>
      </c>
      <c r="F102" s="3">
        <f t="shared" si="1"/>
        <v>0</v>
      </c>
    </row>
    <row r="103" ht="14.25" hidden="1" customHeight="1">
      <c r="A103" s="2" t="s">
        <v>48</v>
      </c>
      <c r="B103" s="1" t="s">
        <v>145</v>
      </c>
      <c r="C103" s="1" t="s">
        <v>13</v>
      </c>
      <c r="E103" s="3">
        <v>25000.0</v>
      </c>
      <c r="F103" s="3">
        <f t="shared" si="1"/>
        <v>0</v>
      </c>
    </row>
    <row r="104" ht="14.25" hidden="1" customHeight="1">
      <c r="A104" s="2" t="s">
        <v>25</v>
      </c>
      <c r="B104" s="1" t="s">
        <v>146</v>
      </c>
      <c r="C104" s="1" t="s">
        <v>10</v>
      </c>
      <c r="E104" s="3">
        <v>1860.0</v>
      </c>
      <c r="F104" s="3">
        <f t="shared" si="1"/>
        <v>0</v>
      </c>
    </row>
    <row r="105" ht="14.25" hidden="1" customHeight="1">
      <c r="A105" s="2" t="s">
        <v>20</v>
      </c>
      <c r="B105" s="1" t="s">
        <v>147</v>
      </c>
      <c r="C105" s="1" t="s">
        <v>10</v>
      </c>
      <c r="E105" s="3">
        <v>1000.0</v>
      </c>
      <c r="F105" s="3">
        <f t="shared" si="1"/>
        <v>0</v>
      </c>
    </row>
    <row r="106" ht="14.25" hidden="1" customHeight="1">
      <c r="A106" s="2" t="s">
        <v>36</v>
      </c>
      <c r="B106" s="1" t="s">
        <v>149</v>
      </c>
      <c r="C106" s="1" t="s">
        <v>10</v>
      </c>
      <c r="E106" s="3">
        <v>8990.0</v>
      </c>
      <c r="F106" s="3">
        <f t="shared" si="1"/>
        <v>0</v>
      </c>
    </row>
    <row r="107" ht="14.25" hidden="1" customHeight="1">
      <c r="A107" s="2" t="s">
        <v>11</v>
      </c>
      <c r="B107" s="1" t="s">
        <v>45</v>
      </c>
      <c r="C107" s="1" t="s">
        <v>10</v>
      </c>
      <c r="E107" s="3">
        <v>7983.0</v>
      </c>
      <c r="F107" s="3">
        <f t="shared" si="1"/>
        <v>0</v>
      </c>
    </row>
    <row r="108" ht="14.25" hidden="1" customHeight="1">
      <c r="A108" s="2" t="s">
        <v>86</v>
      </c>
      <c r="B108" s="1" t="s">
        <v>150</v>
      </c>
      <c r="C108" s="1" t="s">
        <v>88</v>
      </c>
      <c r="E108" s="3">
        <v>170.0</v>
      </c>
      <c r="F108" s="3">
        <f t="shared" si="1"/>
        <v>0</v>
      </c>
    </row>
    <row r="109" ht="14.25" hidden="1" customHeight="1">
      <c r="A109" s="2" t="s">
        <v>20</v>
      </c>
      <c r="B109" s="1" t="s">
        <v>151</v>
      </c>
      <c r="C109" s="1" t="s">
        <v>10</v>
      </c>
      <c r="E109" s="3">
        <v>600.0</v>
      </c>
      <c r="F109" s="3">
        <f t="shared" si="1"/>
        <v>0</v>
      </c>
    </row>
    <row r="110" ht="14.25" hidden="1" customHeight="1">
      <c r="A110" s="2" t="s">
        <v>11</v>
      </c>
      <c r="B110" s="1" t="s">
        <v>125</v>
      </c>
      <c r="C110" s="1" t="s">
        <v>10</v>
      </c>
      <c r="E110" s="3">
        <v>2530.0</v>
      </c>
      <c r="F110" s="3">
        <f t="shared" si="1"/>
        <v>0</v>
      </c>
    </row>
    <row r="111" ht="14.25" hidden="1" customHeight="1">
      <c r="A111" s="2" t="s">
        <v>14</v>
      </c>
      <c r="B111" s="1" t="s">
        <v>152</v>
      </c>
      <c r="C111" s="1" t="s">
        <v>10</v>
      </c>
      <c r="E111" s="3">
        <v>7460.0</v>
      </c>
      <c r="F111" s="3">
        <f t="shared" si="1"/>
        <v>0</v>
      </c>
    </row>
    <row r="112" ht="14.25" hidden="1" customHeight="1">
      <c r="A112" s="2" t="s">
        <v>11</v>
      </c>
      <c r="B112" s="1" t="s">
        <v>108</v>
      </c>
      <c r="C112" s="1" t="s">
        <v>13</v>
      </c>
      <c r="E112" s="3">
        <v>2630.0</v>
      </c>
      <c r="F112" s="3">
        <f t="shared" si="1"/>
        <v>0</v>
      </c>
    </row>
    <row r="113" ht="14.25" hidden="1" customHeight="1">
      <c r="A113" s="2" t="s">
        <v>34</v>
      </c>
      <c r="B113" s="1" t="s">
        <v>154</v>
      </c>
      <c r="C113" s="1" t="s">
        <v>13</v>
      </c>
      <c r="E113" s="3">
        <v>1800.0</v>
      </c>
      <c r="F113" s="3">
        <f t="shared" si="1"/>
        <v>0</v>
      </c>
    </row>
    <row r="114" ht="14.25" hidden="1" customHeight="1">
      <c r="A114" s="2" t="s">
        <v>11</v>
      </c>
      <c r="B114" s="1" t="s">
        <v>56</v>
      </c>
      <c r="C114" s="1" t="s">
        <v>43</v>
      </c>
      <c r="E114" s="3">
        <v>4760.0</v>
      </c>
      <c r="F114" s="3">
        <f t="shared" si="1"/>
        <v>0</v>
      </c>
    </row>
    <row r="115" ht="14.25" hidden="1" customHeight="1">
      <c r="A115" s="2" t="s">
        <v>11</v>
      </c>
      <c r="B115" s="1" t="s">
        <v>130</v>
      </c>
      <c r="C115" s="1" t="s">
        <v>13</v>
      </c>
      <c r="E115" s="3">
        <v>2364.0</v>
      </c>
      <c r="F115" s="3">
        <f t="shared" si="1"/>
        <v>0</v>
      </c>
    </row>
    <row r="116" ht="14.25" hidden="1" customHeight="1">
      <c r="A116" s="2" t="s">
        <v>48</v>
      </c>
      <c r="B116" s="1" t="s">
        <v>155</v>
      </c>
      <c r="C116" s="1" t="s">
        <v>10</v>
      </c>
      <c r="E116" s="3">
        <v>6950.0</v>
      </c>
      <c r="F116" s="3">
        <f t="shared" si="1"/>
        <v>0</v>
      </c>
    </row>
    <row r="117" ht="14.25" hidden="1" customHeight="1">
      <c r="A117" s="2" t="s">
        <v>34</v>
      </c>
      <c r="B117" s="1" t="s">
        <v>156</v>
      </c>
      <c r="C117" s="1" t="s">
        <v>13</v>
      </c>
      <c r="E117" s="3">
        <v>1690.0</v>
      </c>
      <c r="F117" s="3">
        <f t="shared" si="1"/>
        <v>0</v>
      </c>
    </row>
    <row r="118" ht="14.25" hidden="1" customHeight="1">
      <c r="A118" s="2" t="s">
        <v>11</v>
      </c>
      <c r="B118" s="1" t="s">
        <v>153</v>
      </c>
      <c r="C118" s="1" t="s">
        <v>10</v>
      </c>
      <c r="E118" s="3">
        <v>1350.0</v>
      </c>
      <c r="F118" s="3">
        <f t="shared" si="1"/>
        <v>0</v>
      </c>
    </row>
    <row r="119" ht="14.25" hidden="1" customHeight="1">
      <c r="A119" s="2" t="s">
        <v>20</v>
      </c>
      <c r="B119" s="1" t="s">
        <v>158</v>
      </c>
      <c r="C119" s="1" t="s">
        <v>140</v>
      </c>
      <c r="E119" s="3">
        <v>6500.0</v>
      </c>
      <c r="F119" s="3">
        <f t="shared" si="1"/>
        <v>0</v>
      </c>
    </row>
    <row r="120" ht="14.25" hidden="1" customHeight="1">
      <c r="A120" s="2" t="s">
        <v>86</v>
      </c>
      <c r="B120" s="1" t="s">
        <v>159</v>
      </c>
      <c r="C120" s="1" t="s">
        <v>88</v>
      </c>
      <c r="E120" s="3">
        <v>2035.0</v>
      </c>
      <c r="F120" s="3">
        <f t="shared" si="1"/>
        <v>0</v>
      </c>
    </row>
    <row r="121" ht="14.25" hidden="1" customHeight="1">
      <c r="A121" s="2" t="s">
        <v>36</v>
      </c>
      <c r="B121" s="1" t="s">
        <v>160</v>
      </c>
      <c r="C121" s="1" t="s">
        <v>10</v>
      </c>
      <c r="E121" s="3">
        <v>1500.0</v>
      </c>
      <c r="F121" s="3">
        <f t="shared" si="1"/>
        <v>0</v>
      </c>
    </row>
    <row r="122" ht="14.25" hidden="1" customHeight="1">
      <c r="A122" s="2" t="s">
        <v>11</v>
      </c>
      <c r="B122" s="1" t="s">
        <v>98</v>
      </c>
      <c r="C122" s="1" t="s">
        <v>10</v>
      </c>
      <c r="E122" s="3">
        <v>2860.0</v>
      </c>
      <c r="F122" s="3">
        <f t="shared" si="1"/>
        <v>0</v>
      </c>
    </row>
    <row r="123" ht="14.25" hidden="1" customHeight="1">
      <c r="A123" s="2" t="s">
        <v>11</v>
      </c>
      <c r="B123" s="1" t="s">
        <v>51</v>
      </c>
      <c r="C123" s="1" t="s">
        <v>10</v>
      </c>
      <c r="E123" s="3">
        <v>5670.0</v>
      </c>
      <c r="F123" s="3">
        <f t="shared" si="1"/>
        <v>0</v>
      </c>
    </row>
    <row r="124" ht="14.25" hidden="1" customHeight="1">
      <c r="A124" s="2" t="s">
        <v>11</v>
      </c>
      <c r="B124" s="1" t="s">
        <v>157</v>
      </c>
      <c r="C124" s="1" t="s">
        <v>10</v>
      </c>
      <c r="E124" s="3">
        <v>1120.0</v>
      </c>
      <c r="F124" s="3">
        <f t="shared" si="1"/>
        <v>0</v>
      </c>
    </row>
    <row r="125" ht="14.25" hidden="1" customHeight="1">
      <c r="A125" s="2" t="s">
        <v>20</v>
      </c>
      <c r="B125" s="1" t="s">
        <v>161</v>
      </c>
      <c r="C125" s="1" t="s">
        <v>10</v>
      </c>
      <c r="E125" s="3">
        <v>550.0</v>
      </c>
      <c r="F125" s="3">
        <f t="shared" si="1"/>
        <v>0</v>
      </c>
    </row>
    <row r="126" ht="14.25" hidden="1" customHeight="1">
      <c r="A126" s="2" t="s">
        <v>86</v>
      </c>
      <c r="B126" s="1" t="s">
        <v>163</v>
      </c>
      <c r="C126" s="1" t="s">
        <v>164</v>
      </c>
      <c r="E126" s="3">
        <v>4650.0</v>
      </c>
      <c r="F126" s="3">
        <f t="shared" si="1"/>
        <v>0</v>
      </c>
    </row>
    <row r="127" ht="14.25" hidden="1" customHeight="1">
      <c r="A127" s="2" t="s">
        <v>48</v>
      </c>
      <c r="B127" s="1" t="s">
        <v>165</v>
      </c>
      <c r="C127" s="1" t="s">
        <v>10</v>
      </c>
      <c r="E127" s="3">
        <v>2280.0</v>
      </c>
      <c r="F127" s="3">
        <f t="shared" si="1"/>
        <v>0</v>
      </c>
    </row>
    <row r="128" ht="14.25" hidden="1" customHeight="1">
      <c r="A128" s="2" t="s">
        <v>25</v>
      </c>
      <c r="B128" s="1" t="s">
        <v>166</v>
      </c>
      <c r="C128" s="1" t="s">
        <v>10</v>
      </c>
      <c r="E128" s="3">
        <v>4500.0</v>
      </c>
      <c r="F128" s="3">
        <f t="shared" si="1"/>
        <v>0</v>
      </c>
    </row>
    <row r="129" ht="14.25" hidden="1" customHeight="1">
      <c r="A129" s="2" t="s">
        <v>20</v>
      </c>
      <c r="B129" s="1" t="s">
        <v>167</v>
      </c>
      <c r="C129" s="1" t="s">
        <v>140</v>
      </c>
      <c r="E129" s="3">
        <v>1500.0</v>
      </c>
      <c r="F129" s="3">
        <f t="shared" si="1"/>
        <v>0</v>
      </c>
    </row>
    <row r="130" ht="14.25" hidden="1" customHeight="1">
      <c r="A130" s="2" t="s">
        <v>11</v>
      </c>
      <c r="B130" s="1" t="s">
        <v>42</v>
      </c>
      <c r="C130" s="1" t="s">
        <v>43</v>
      </c>
      <c r="E130" s="3">
        <v>12489.0</v>
      </c>
      <c r="F130" s="3">
        <f t="shared" si="1"/>
        <v>0</v>
      </c>
    </row>
    <row r="131" ht="14.25" hidden="1" customHeight="1">
      <c r="A131" s="2" t="s">
        <v>20</v>
      </c>
      <c r="B131" s="1" t="s">
        <v>168</v>
      </c>
      <c r="C131" s="1" t="s">
        <v>13</v>
      </c>
      <c r="E131" s="3">
        <v>4000.0</v>
      </c>
      <c r="F131" s="3">
        <f t="shared" si="1"/>
        <v>0</v>
      </c>
    </row>
    <row r="132" ht="14.25" hidden="1" customHeight="1">
      <c r="A132" s="2" t="s">
        <v>20</v>
      </c>
      <c r="B132" s="1" t="s">
        <v>170</v>
      </c>
      <c r="C132" s="1" t="s">
        <v>13</v>
      </c>
      <c r="E132" s="3">
        <v>2200.0</v>
      </c>
      <c r="F132" s="3">
        <f t="shared" si="1"/>
        <v>0</v>
      </c>
    </row>
    <row r="133" ht="14.25" hidden="1" customHeight="1">
      <c r="A133" s="2" t="s">
        <v>11</v>
      </c>
      <c r="B133" s="1" t="s">
        <v>138</v>
      </c>
      <c r="C133" s="1" t="s">
        <v>13</v>
      </c>
      <c r="E133" s="3">
        <v>1890.0</v>
      </c>
      <c r="F133" s="3">
        <f t="shared" si="1"/>
        <v>0</v>
      </c>
    </row>
    <row r="134" ht="14.25" hidden="1" customHeight="1">
      <c r="A134" s="2" t="s">
        <v>20</v>
      </c>
      <c r="B134" s="1" t="s">
        <v>171</v>
      </c>
      <c r="C134" s="1" t="s">
        <v>13</v>
      </c>
      <c r="E134" s="3">
        <v>1690.0</v>
      </c>
      <c r="F134" s="3">
        <f t="shared" si="1"/>
        <v>0</v>
      </c>
    </row>
    <row r="135" ht="14.25" hidden="1" customHeight="1">
      <c r="A135" s="2" t="s">
        <v>11</v>
      </c>
      <c r="B135" s="1" t="s">
        <v>148</v>
      </c>
      <c r="C135" s="1" t="s">
        <v>13</v>
      </c>
      <c r="E135" s="3">
        <v>1800.0</v>
      </c>
      <c r="F135" s="3">
        <f t="shared" si="1"/>
        <v>0</v>
      </c>
    </row>
    <row r="136" ht="14.25" hidden="1" customHeight="1">
      <c r="A136" s="2" t="s">
        <v>34</v>
      </c>
      <c r="B136" s="1" t="s">
        <v>172</v>
      </c>
      <c r="C136" s="1" t="s">
        <v>13</v>
      </c>
      <c r="E136" s="3">
        <v>2500.0</v>
      </c>
      <c r="F136" s="3">
        <f t="shared" si="1"/>
        <v>0</v>
      </c>
    </row>
    <row r="137" ht="14.25" hidden="1" customHeight="1">
      <c r="A137" s="2" t="s">
        <v>20</v>
      </c>
      <c r="B137" s="1" t="s">
        <v>174</v>
      </c>
      <c r="C137" s="1" t="s">
        <v>140</v>
      </c>
      <c r="E137" s="3">
        <v>3500.0</v>
      </c>
      <c r="F137" s="3">
        <f t="shared" si="1"/>
        <v>0</v>
      </c>
    </row>
    <row r="138" ht="14.25" hidden="1" customHeight="1">
      <c r="A138" s="2" t="s">
        <v>11</v>
      </c>
      <c r="B138" s="1" t="s">
        <v>80</v>
      </c>
      <c r="C138" s="1" t="s">
        <v>13</v>
      </c>
      <c r="E138" s="3">
        <v>3450.0</v>
      </c>
      <c r="F138" s="3">
        <f t="shared" si="1"/>
        <v>0</v>
      </c>
    </row>
    <row r="139" ht="14.25" hidden="1" customHeight="1">
      <c r="A139" s="2" t="s">
        <v>48</v>
      </c>
      <c r="B139" s="1" t="s">
        <v>175</v>
      </c>
      <c r="C139" s="1" t="s">
        <v>13</v>
      </c>
      <c r="E139" s="3">
        <v>6800.0</v>
      </c>
      <c r="F139" s="3">
        <f t="shared" si="1"/>
        <v>0</v>
      </c>
    </row>
    <row r="140" ht="14.25" hidden="1" customHeight="1">
      <c r="A140" s="2" t="s">
        <v>48</v>
      </c>
      <c r="B140" s="1" t="s">
        <v>176</v>
      </c>
      <c r="C140" s="1" t="s">
        <v>10</v>
      </c>
      <c r="E140" s="3">
        <v>1610.0</v>
      </c>
      <c r="F140" s="3">
        <f t="shared" si="1"/>
        <v>0</v>
      </c>
    </row>
    <row r="141" ht="14.25" hidden="1" customHeight="1">
      <c r="A141" s="2" t="s">
        <v>11</v>
      </c>
      <c r="B141" s="1" t="s">
        <v>85</v>
      </c>
      <c r="C141" s="1" t="s">
        <v>10</v>
      </c>
      <c r="E141" s="3">
        <v>3190.0</v>
      </c>
      <c r="F141" s="3">
        <f t="shared" si="1"/>
        <v>0</v>
      </c>
    </row>
    <row r="142" ht="14.25" hidden="1" customHeight="1">
      <c r="A142" s="2" t="s">
        <v>20</v>
      </c>
      <c r="B142" s="1" t="s">
        <v>178</v>
      </c>
      <c r="C142" s="1" t="s">
        <v>140</v>
      </c>
      <c r="E142" s="3">
        <v>3000.0</v>
      </c>
      <c r="F142" s="3">
        <f t="shared" si="1"/>
        <v>0</v>
      </c>
    </row>
    <row r="143" ht="14.25" hidden="1" customHeight="1">
      <c r="A143" s="2" t="s">
        <v>20</v>
      </c>
      <c r="B143" s="1" t="s">
        <v>179</v>
      </c>
      <c r="C143" s="1" t="s">
        <v>10</v>
      </c>
      <c r="E143" s="3">
        <v>1500.0</v>
      </c>
      <c r="F143" s="3">
        <f t="shared" si="1"/>
        <v>0</v>
      </c>
    </row>
    <row r="144" ht="14.25" hidden="1" customHeight="1">
      <c r="A144" s="2" t="s">
        <v>20</v>
      </c>
      <c r="B144" s="1" t="s">
        <v>180</v>
      </c>
      <c r="C144" s="1" t="s">
        <v>10</v>
      </c>
      <c r="E144" s="3">
        <v>600.0</v>
      </c>
      <c r="F144" s="3">
        <f t="shared" si="1"/>
        <v>0</v>
      </c>
    </row>
    <row r="145" ht="14.25" hidden="1" customHeight="1">
      <c r="A145" s="2" t="s">
        <v>11</v>
      </c>
      <c r="B145" s="1" t="s">
        <v>92</v>
      </c>
      <c r="C145" s="1" t="s">
        <v>13</v>
      </c>
      <c r="E145" s="3">
        <v>2940.0</v>
      </c>
      <c r="F145" s="3">
        <f t="shared" si="1"/>
        <v>0</v>
      </c>
    </row>
    <row r="146" ht="14.25" hidden="1" customHeight="1">
      <c r="A146" s="2" t="s">
        <v>86</v>
      </c>
      <c r="B146" s="1" t="s">
        <v>181</v>
      </c>
      <c r="C146" s="1" t="s">
        <v>88</v>
      </c>
      <c r="E146" s="3">
        <v>230.0</v>
      </c>
      <c r="F146" s="3">
        <f t="shared" si="1"/>
        <v>0</v>
      </c>
    </row>
    <row r="147" ht="14.25" hidden="1" customHeight="1">
      <c r="A147" s="2" t="s">
        <v>34</v>
      </c>
      <c r="B147" s="1" t="s">
        <v>183</v>
      </c>
      <c r="C147" s="1" t="s">
        <v>13</v>
      </c>
      <c r="E147" s="3">
        <v>1300.0</v>
      </c>
      <c r="F147" s="3">
        <f t="shared" si="1"/>
        <v>0</v>
      </c>
    </row>
    <row r="148" ht="14.25" hidden="1" customHeight="1">
      <c r="A148" s="2" t="s">
        <v>11</v>
      </c>
      <c r="B148" s="1" t="s">
        <v>102</v>
      </c>
      <c r="C148" s="1" t="s">
        <v>10</v>
      </c>
      <c r="E148" s="3">
        <v>2730.0</v>
      </c>
      <c r="F148" s="3">
        <f t="shared" si="1"/>
        <v>0</v>
      </c>
    </row>
    <row r="149" ht="14.25" hidden="1" customHeight="1">
      <c r="A149" s="2" t="s">
        <v>36</v>
      </c>
      <c r="B149" s="1" t="s">
        <v>184</v>
      </c>
      <c r="C149" s="1" t="s">
        <v>10</v>
      </c>
      <c r="E149" s="3">
        <v>2713.0</v>
      </c>
      <c r="F149" s="3">
        <f t="shared" si="1"/>
        <v>0</v>
      </c>
    </row>
    <row r="150" ht="14.25" hidden="1" customHeight="1">
      <c r="A150" s="2" t="s">
        <v>11</v>
      </c>
      <c r="B150" s="1" t="s">
        <v>120</v>
      </c>
      <c r="C150" s="1" t="s">
        <v>10</v>
      </c>
      <c r="E150" s="3">
        <v>2530.0</v>
      </c>
      <c r="F150" s="3">
        <f t="shared" si="1"/>
        <v>0</v>
      </c>
    </row>
    <row r="151" ht="14.25" hidden="1" customHeight="1">
      <c r="A151" s="2" t="s">
        <v>20</v>
      </c>
      <c r="B151" s="1" t="s">
        <v>186</v>
      </c>
      <c r="C151" s="1" t="s">
        <v>140</v>
      </c>
      <c r="E151" s="3">
        <v>2500.0</v>
      </c>
      <c r="F151" s="3">
        <f t="shared" si="1"/>
        <v>0</v>
      </c>
    </row>
    <row r="152" ht="14.25" hidden="1" customHeight="1">
      <c r="A152" s="2" t="s">
        <v>25</v>
      </c>
      <c r="B152" s="1" t="s">
        <v>187</v>
      </c>
      <c r="C152" s="1" t="s">
        <v>10</v>
      </c>
      <c r="E152" s="3">
        <v>2334.0</v>
      </c>
      <c r="F152" s="3">
        <f t="shared" si="1"/>
        <v>0</v>
      </c>
    </row>
    <row r="153" ht="14.25" hidden="1" customHeight="1">
      <c r="A153" s="2" t="s">
        <v>20</v>
      </c>
      <c r="B153" s="1" t="s">
        <v>188</v>
      </c>
      <c r="C153" s="1" t="s">
        <v>13</v>
      </c>
      <c r="E153" s="3">
        <v>750.0</v>
      </c>
      <c r="F153" s="3">
        <f t="shared" si="1"/>
        <v>0</v>
      </c>
    </row>
    <row r="154" ht="14.25" hidden="1" customHeight="1">
      <c r="A154" s="2" t="s">
        <v>11</v>
      </c>
      <c r="B154" s="1" t="s">
        <v>61</v>
      </c>
      <c r="C154" s="1" t="s">
        <v>43</v>
      </c>
      <c r="E154" s="3">
        <v>4520.0</v>
      </c>
      <c r="F154" s="3">
        <f t="shared" si="1"/>
        <v>0</v>
      </c>
    </row>
    <row r="155" ht="14.25" hidden="1" customHeight="1">
      <c r="A155" s="2" t="s">
        <v>48</v>
      </c>
      <c r="B155" s="1" t="s">
        <v>190</v>
      </c>
      <c r="C155" s="1" t="s">
        <v>13</v>
      </c>
      <c r="E155" s="3">
        <v>4500.0</v>
      </c>
      <c r="F155" s="3">
        <f t="shared" si="1"/>
        <v>0</v>
      </c>
    </row>
    <row r="156" ht="14.25" hidden="1" customHeight="1">
      <c r="A156" s="2" t="s">
        <v>20</v>
      </c>
      <c r="B156" s="1" t="s">
        <v>191</v>
      </c>
      <c r="C156" s="1" t="s">
        <v>13</v>
      </c>
      <c r="E156" s="3">
        <v>4000.0</v>
      </c>
      <c r="F156" s="3">
        <f t="shared" si="1"/>
        <v>0</v>
      </c>
    </row>
    <row r="157" ht="14.25" hidden="1" customHeight="1">
      <c r="A157" s="2" t="s">
        <v>86</v>
      </c>
      <c r="B157" s="1" t="s">
        <v>192</v>
      </c>
      <c r="C157" s="1" t="s">
        <v>88</v>
      </c>
      <c r="E157" s="3">
        <v>1470.0</v>
      </c>
      <c r="F157" s="3">
        <f t="shared" si="1"/>
        <v>0</v>
      </c>
    </row>
    <row r="158" ht="14.25" hidden="1" customHeight="1">
      <c r="A158" s="2" t="s">
        <v>86</v>
      </c>
      <c r="B158" s="1" t="s">
        <v>194</v>
      </c>
      <c r="C158" s="1" t="s">
        <v>88</v>
      </c>
      <c r="E158" s="3">
        <v>1190.0</v>
      </c>
      <c r="F158" s="3">
        <f t="shared" si="1"/>
        <v>0</v>
      </c>
    </row>
    <row r="159" ht="14.25" hidden="1" customHeight="1">
      <c r="A159" s="2" t="s">
        <v>86</v>
      </c>
      <c r="B159" s="1" t="s">
        <v>195</v>
      </c>
      <c r="C159" s="1" t="s">
        <v>88</v>
      </c>
      <c r="E159" s="3">
        <v>1030.0</v>
      </c>
      <c r="F159" s="3">
        <f t="shared" si="1"/>
        <v>0</v>
      </c>
    </row>
    <row r="160" ht="14.25" hidden="1" customHeight="1">
      <c r="A160" s="2" t="s">
        <v>48</v>
      </c>
      <c r="B160" s="1" t="s">
        <v>196</v>
      </c>
      <c r="C160" s="1" t="s">
        <v>10</v>
      </c>
      <c r="E160" s="3">
        <v>200.0</v>
      </c>
      <c r="F160" s="3">
        <f t="shared" si="1"/>
        <v>0</v>
      </c>
    </row>
    <row r="161" ht="14.25" hidden="1" customHeight="1">
      <c r="A161" s="2" t="s">
        <v>20</v>
      </c>
      <c r="B161" s="1" t="s">
        <v>198</v>
      </c>
      <c r="C161" s="1" t="s">
        <v>10</v>
      </c>
      <c r="E161" s="3">
        <v>2000.0</v>
      </c>
      <c r="F161" s="3">
        <f t="shared" si="1"/>
        <v>0</v>
      </c>
    </row>
    <row r="162" ht="14.25" hidden="1" customHeight="1">
      <c r="A162" s="2" t="s">
        <v>20</v>
      </c>
      <c r="B162" s="1" t="s">
        <v>199</v>
      </c>
      <c r="C162" s="1" t="s">
        <v>140</v>
      </c>
      <c r="E162" s="3">
        <v>1000.0</v>
      </c>
      <c r="F162" s="3">
        <f t="shared" si="1"/>
        <v>0</v>
      </c>
    </row>
    <row r="163" ht="14.25" hidden="1" customHeight="1">
      <c r="A163" s="2" t="s">
        <v>11</v>
      </c>
      <c r="B163" s="1" t="s">
        <v>162</v>
      </c>
      <c r="C163" s="1" t="s">
        <v>10</v>
      </c>
      <c r="E163" s="3"/>
      <c r="F163" s="3">
        <f t="shared" si="1"/>
        <v>0</v>
      </c>
    </row>
    <row r="164" ht="14.25" hidden="1" customHeight="1">
      <c r="A164" s="2" t="s">
        <v>11</v>
      </c>
      <c r="B164" s="1" t="s">
        <v>169</v>
      </c>
      <c r="C164" s="1" t="s">
        <v>10</v>
      </c>
      <c r="E164" s="3"/>
      <c r="F164" s="3">
        <f t="shared" si="1"/>
        <v>0</v>
      </c>
    </row>
    <row r="165" ht="14.25" hidden="1" customHeight="1">
      <c r="A165" s="2" t="s">
        <v>11</v>
      </c>
      <c r="B165" s="1" t="s">
        <v>173</v>
      </c>
      <c r="C165" s="1" t="s">
        <v>10</v>
      </c>
      <c r="E165" s="3"/>
      <c r="F165" s="3">
        <f t="shared" si="1"/>
        <v>0</v>
      </c>
    </row>
    <row r="166" ht="14.25" hidden="1" customHeight="1">
      <c r="A166" s="2" t="s">
        <v>11</v>
      </c>
      <c r="B166" s="1" t="s">
        <v>177</v>
      </c>
      <c r="C166" s="1" t="s">
        <v>10</v>
      </c>
      <c r="E166" s="3"/>
      <c r="F166" s="3">
        <f t="shared" si="1"/>
        <v>0</v>
      </c>
    </row>
    <row r="167" ht="14.25" hidden="1" customHeight="1">
      <c r="A167" s="2" t="s">
        <v>11</v>
      </c>
      <c r="B167" s="1" t="s">
        <v>182</v>
      </c>
      <c r="C167" s="1" t="s">
        <v>10</v>
      </c>
      <c r="E167" s="3"/>
      <c r="F167" s="3">
        <f t="shared" si="1"/>
        <v>0</v>
      </c>
    </row>
    <row r="168" ht="14.25" hidden="1" customHeight="1">
      <c r="A168" s="2" t="s">
        <v>11</v>
      </c>
      <c r="B168" s="1" t="s">
        <v>185</v>
      </c>
      <c r="C168" s="1" t="s">
        <v>13</v>
      </c>
      <c r="E168" s="3"/>
      <c r="F168" s="3">
        <f t="shared" si="1"/>
        <v>0</v>
      </c>
    </row>
    <row r="169" ht="14.25" hidden="1" customHeight="1">
      <c r="A169" s="2" t="s">
        <v>11</v>
      </c>
      <c r="B169" s="1" t="s">
        <v>189</v>
      </c>
      <c r="C169" s="1" t="s">
        <v>10</v>
      </c>
      <c r="E169" s="3"/>
      <c r="F169" s="3">
        <f t="shared" si="1"/>
        <v>0</v>
      </c>
    </row>
    <row r="170" ht="14.25" hidden="1" customHeight="1">
      <c r="A170" s="2" t="s">
        <v>11</v>
      </c>
      <c r="B170" s="1" t="s">
        <v>193</v>
      </c>
      <c r="C170" s="1" t="s">
        <v>10</v>
      </c>
      <c r="E170" s="3"/>
      <c r="F170" s="3">
        <f t="shared" si="1"/>
        <v>0</v>
      </c>
    </row>
    <row r="171" ht="14.25" hidden="1" customHeight="1">
      <c r="A171" s="2" t="s">
        <v>11</v>
      </c>
      <c r="B171" s="1" t="s">
        <v>197</v>
      </c>
      <c r="C171" s="1" t="s">
        <v>13</v>
      </c>
      <c r="E171" s="3"/>
      <c r="F171" s="3">
        <f t="shared" si="1"/>
        <v>0</v>
      </c>
    </row>
    <row r="172" ht="14.25" hidden="1" customHeight="1">
      <c r="A172" s="2" t="s">
        <v>11</v>
      </c>
      <c r="B172" s="1" t="s">
        <v>200</v>
      </c>
      <c r="C172" s="1" t="s">
        <v>10</v>
      </c>
      <c r="E172" s="3"/>
      <c r="F172" s="3">
        <f t="shared" si="1"/>
        <v>0</v>
      </c>
    </row>
    <row r="173" ht="14.25" hidden="1" customHeight="1">
      <c r="A173" s="2" t="s">
        <v>11</v>
      </c>
      <c r="B173" s="1" t="s">
        <v>201</v>
      </c>
      <c r="C173" s="1" t="s">
        <v>13</v>
      </c>
      <c r="E173" s="3"/>
      <c r="F173" s="3">
        <f t="shared" si="1"/>
        <v>0</v>
      </c>
    </row>
    <row r="174" ht="14.25" hidden="1" customHeight="1">
      <c r="A174" s="2" t="s">
        <v>86</v>
      </c>
      <c r="B174" s="1" t="s">
        <v>202</v>
      </c>
      <c r="C174" s="1" t="s">
        <v>164</v>
      </c>
      <c r="E174" s="3">
        <v>4650.0</v>
      </c>
      <c r="F174" s="3">
        <f t="shared" si="1"/>
        <v>0</v>
      </c>
    </row>
    <row r="175" ht="14.25" hidden="1" customHeight="1">
      <c r="A175" s="2" t="s">
        <v>86</v>
      </c>
      <c r="B175" s="1" t="s">
        <v>203</v>
      </c>
      <c r="C175" s="1" t="s">
        <v>88</v>
      </c>
      <c r="E175" s="3"/>
      <c r="F175" s="3">
        <f t="shared" si="1"/>
        <v>0</v>
      </c>
    </row>
    <row r="176" ht="14.25" hidden="1" customHeight="1">
      <c r="A176" s="2" t="s">
        <v>86</v>
      </c>
      <c r="B176" s="1" t="s">
        <v>204</v>
      </c>
      <c r="C176" s="1" t="s">
        <v>88</v>
      </c>
      <c r="E176" s="3"/>
      <c r="F176" s="3">
        <f t="shared" si="1"/>
        <v>0</v>
      </c>
    </row>
    <row r="177" ht="14.25" hidden="1" customHeight="1">
      <c r="A177" s="2" t="s">
        <v>86</v>
      </c>
      <c r="B177" s="1" t="s">
        <v>205</v>
      </c>
      <c r="C177" s="1" t="s">
        <v>88</v>
      </c>
      <c r="E177" s="3"/>
      <c r="F177" s="3">
        <f t="shared" si="1"/>
        <v>0</v>
      </c>
    </row>
    <row r="178" ht="14.25" hidden="1" customHeight="1">
      <c r="A178" s="2" t="s">
        <v>86</v>
      </c>
      <c r="B178" s="1" t="s">
        <v>206</v>
      </c>
      <c r="C178" s="1" t="s">
        <v>88</v>
      </c>
      <c r="E178" s="3"/>
      <c r="F178" s="3">
        <f t="shared" si="1"/>
        <v>0</v>
      </c>
    </row>
    <row r="179" ht="14.25" hidden="1" customHeight="1">
      <c r="A179" s="2" t="s">
        <v>86</v>
      </c>
      <c r="B179" s="1" t="s">
        <v>207</v>
      </c>
      <c r="C179" s="1" t="s">
        <v>88</v>
      </c>
      <c r="E179" s="3"/>
      <c r="F179" s="3">
        <f t="shared" si="1"/>
        <v>0</v>
      </c>
    </row>
    <row r="180" ht="14.25" hidden="1" customHeight="1">
      <c r="A180" s="2" t="s">
        <v>86</v>
      </c>
      <c r="B180" s="1" t="s">
        <v>208</v>
      </c>
      <c r="C180" s="1" t="s">
        <v>88</v>
      </c>
      <c r="E180" s="3"/>
      <c r="F180" s="3">
        <f t="shared" si="1"/>
        <v>0</v>
      </c>
    </row>
    <row r="181" ht="14.25" hidden="1" customHeight="1">
      <c r="A181" s="2" t="s">
        <v>86</v>
      </c>
      <c r="B181" s="1" t="s">
        <v>209</v>
      </c>
      <c r="C181" s="1" t="s">
        <v>88</v>
      </c>
      <c r="E181" s="3"/>
      <c r="F181" s="3">
        <f t="shared" si="1"/>
        <v>0</v>
      </c>
    </row>
    <row r="182" ht="14.25" hidden="1" customHeight="1">
      <c r="A182" s="2" t="s">
        <v>86</v>
      </c>
      <c r="B182" s="1" t="s">
        <v>210</v>
      </c>
      <c r="C182" s="1" t="s">
        <v>88</v>
      </c>
      <c r="E182" s="3"/>
      <c r="F182" s="3">
        <f t="shared" si="1"/>
        <v>0</v>
      </c>
    </row>
    <row r="183" ht="14.25" hidden="1" customHeight="1">
      <c r="A183" s="2" t="s">
        <v>86</v>
      </c>
      <c r="B183" s="1" t="s">
        <v>211</v>
      </c>
      <c r="C183" s="1" t="s">
        <v>88</v>
      </c>
      <c r="E183" s="3"/>
      <c r="F183" s="3">
        <f t="shared" si="1"/>
        <v>0</v>
      </c>
    </row>
    <row r="184" ht="14.25" hidden="1" customHeight="1">
      <c r="A184" s="2" t="s">
        <v>86</v>
      </c>
      <c r="B184" s="1" t="s">
        <v>212</v>
      </c>
      <c r="C184" s="1" t="s">
        <v>88</v>
      </c>
      <c r="E184" s="3"/>
      <c r="F184" s="3">
        <f t="shared" si="1"/>
        <v>0</v>
      </c>
    </row>
    <row r="185" ht="14.25" hidden="1" customHeight="1">
      <c r="A185" s="2" t="s">
        <v>86</v>
      </c>
      <c r="B185" s="1" t="s">
        <v>213</v>
      </c>
      <c r="C185" s="1" t="s">
        <v>88</v>
      </c>
      <c r="E185" s="3"/>
      <c r="F185" s="3">
        <f t="shared" si="1"/>
        <v>0</v>
      </c>
    </row>
    <row r="186" ht="14.25" hidden="1" customHeight="1">
      <c r="A186" s="2" t="s">
        <v>25</v>
      </c>
      <c r="B186" s="1" t="s">
        <v>214</v>
      </c>
      <c r="C186" s="1" t="s">
        <v>13</v>
      </c>
      <c r="E186" s="3"/>
      <c r="F186" s="3">
        <f t="shared" si="1"/>
        <v>0</v>
      </c>
    </row>
    <row r="187" ht="14.25" hidden="1" customHeight="1">
      <c r="A187" s="2" t="s">
        <v>48</v>
      </c>
      <c r="B187" s="1" t="s">
        <v>215</v>
      </c>
      <c r="C187" s="1" t="s">
        <v>13</v>
      </c>
      <c r="E187" s="3"/>
      <c r="F187" s="3">
        <f t="shared" si="1"/>
        <v>0</v>
      </c>
    </row>
    <row r="188" ht="14.25" hidden="1" customHeight="1">
      <c r="A188" s="2" t="s">
        <v>48</v>
      </c>
      <c r="B188" s="1" t="s">
        <v>216</v>
      </c>
      <c r="C188" s="1" t="s">
        <v>13</v>
      </c>
      <c r="E188" s="3"/>
      <c r="F188" s="3">
        <f t="shared" si="1"/>
        <v>0</v>
      </c>
    </row>
    <row r="189" ht="14.25" hidden="1" customHeight="1">
      <c r="A189" s="2" t="s">
        <v>48</v>
      </c>
      <c r="B189" s="1" t="s">
        <v>217</v>
      </c>
      <c r="C189" s="1" t="s">
        <v>13</v>
      </c>
      <c r="E189" s="3"/>
      <c r="F189" s="3">
        <f t="shared" si="1"/>
        <v>0</v>
      </c>
    </row>
    <row r="190" ht="14.25" hidden="1" customHeight="1">
      <c r="A190" s="2" t="s">
        <v>48</v>
      </c>
      <c r="B190" s="1" t="s">
        <v>218</v>
      </c>
      <c r="C190" s="1" t="s">
        <v>13</v>
      </c>
      <c r="E190" s="3"/>
      <c r="F190" s="3">
        <f t="shared" si="1"/>
        <v>0</v>
      </c>
    </row>
    <row r="191" ht="14.25" hidden="1" customHeight="1">
      <c r="A191" s="2" t="s">
        <v>48</v>
      </c>
      <c r="B191" s="1" t="s">
        <v>219</v>
      </c>
      <c r="C191" s="1" t="s">
        <v>13</v>
      </c>
      <c r="E191" s="3"/>
      <c r="F191" s="3">
        <f t="shared" si="1"/>
        <v>0</v>
      </c>
    </row>
    <row r="192" ht="14.25" hidden="1" customHeight="1">
      <c r="A192" s="2" t="s">
        <v>48</v>
      </c>
      <c r="B192" s="1" t="s">
        <v>220</v>
      </c>
      <c r="C192" s="1" t="s">
        <v>13</v>
      </c>
      <c r="E192" s="3"/>
      <c r="F192" s="3">
        <f t="shared" si="1"/>
        <v>0</v>
      </c>
    </row>
    <row r="193" ht="14.25" hidden="1" customHeight="1">
      <c r="A193" s="2" t="s">
        <v>48</v>
      </c>
      <c r="B193" s="1" t="s">
        <v>221</v>
      </c>
      <c r="C193" s="1" t="s">
        <v>13</v>
      </c>
      <c r="E193" s="3"/>
      <c r="F193" s="3">
        <f t="shared" si="1"/>
        <v>0</v>
      </c>
    </row>
    <row r="194" ht="14.25" hidden="1" customHeight="1">
      <c r="A194" s="2" t="s">
        <v>48</v>
      </c>
      <c r="B194" s="1" t="s">
        <v>222</v>
      </c>
      <c r="C194" s="1" t="s">
        <v>13</v>
      </c>
      <c r="E194" s="3"/>
      <c r="F194" s="3">
        <f t="shared" si="1"/>
        <v>0</v>
      </c>
    </row>
    <row r="195" ht="14.25" hidden="1" customHeight="1">
      <c r="A195" s="2" t="s">
        <v>48</v>
      </c>
      <c r="B195" s="1" t="s">
        <v>223</v>
      </c>
      <c r="C195" s="1" t="s">
        <v>10</v>
      </c>
      <c r="E195" s="3"/>
      <c r="F195" s="3">
        <f t="shared" si="1"/>
        <v>0</v>
      </c>
    </row>
    <row r="196" ht="14.25" hidden="1" customHeight="1">
      <c r="A196" s="2" t="s">
        <v>48</v>
      </c>
      <c r="B196" s="1" t="s">
        <v>224</v>
      </c>
      <c r="C196" s="1" t="s">
        <v>13</v>
      </c>
      <c r="E196" s="3"/>
      <c r="F196" s="3">
        <f t="shared" si="1"/>
        <v>0</v>
      </c>
    </row>
    <row r="197" ht="14.25" hidden="1" customHeight="1">
      <c r="A197" s="2" t="s">
        <v>34</v>
      </c>
      <c r="B197" s="1" t="s">
        <v>225</v>
      </c>
      <c r="C197" s="1" t="s">
        <v>13</v>
      </c>
      <c r="E197" s="3"/>
      <c r="F197" s="3">
        <f t="shared" si="1"/>
        <v>0</v>
      </c>
    </row>
    <row r="198" ht="14.25" hidden="1" customHeight="1">
      <c r="A198" s="2" t="s">
        <v>96</v>
      </c>
      <c r="B198" s="1" t="s">
        <v>226</v>
      </c>
      <c r="C198" s="1" t="s">
        <v>13</v>
      </c>
      <c r="E198" s="3"/>
      <c r="F198" s="3">
        <f t="shared" si="1"/>
        <v>0</v>
      </c>
    </row>
    <row r="199" ht="14.25" hidden="1" customHeight="1">
      <c r="A199" s="2" t="s">
        <v>96</v>
      </c>
      <c r="B199" s="1" t="s">
        <v>227</v>
      </c>
      <c r="C199" s="1" t="s">
        <v>10</v>
      </c>
      <c r="E199" s="3"/>
      <c r="F199" s="3">
        <f t="shared" si="1"/>
        <v>0</v>
      </c>
    </row>
    <row r="200" ht="14.25" hidden="1" customHeight="1">
      <c r="A200" s="2" t="s">
        <v>96</v>
      </c>
      <c r="B200" s="1" t="s">
        <v>228</v>
      </c>
      <c r="C200" s="1" t="s">
        <v>13</v>
      </c>
      <c r="E200" s="3"/>
      <c r="F200" s="3">
        <f t="shared" si="1"/>
        <v>0</v>
      </c>
    </row>
    <row r="201" ht="14.25" hidden="1" customHeight="1">
      <c r="A201" s="2" t="s">
        <v>36</v>
      </c>
      <c r="B201" s="1" t="s">
        <v>229</v>
      </c>
      <c r="C201" s="1" t="s">
        <v>10</v>
      </c>
      <c r="E201" s="3"/>
      <c r="F201" s="3">
        <f t="shared" si="1"/>
        <v>0</v>
      </c>
    </row>
    <row r="202" ht="14.25" hidden="1" customHeight="1">
      <c r="A202" s="2" t="s">
        <v>36</v>
      </c>
      <c r="B202" s="1" t="s">
        <v>230</v>
      </c>
      <c r="C202" s="1" t="s">
        <v>136</v>
      </c>
      <c r="E202" s="3"/>
      <c r="F202" s="3">
        <f t="shared" si="1"/>
        <v>0</v>
      </c>
    </row>
    <row r="203" ht="14.25" hidden="1" customHeight="1">
      <c r="A203" s="2" t="s">
        <v>36</v>
      </c>
      <c r="B203" s="1" t="s">
        <v>231</v>
      </c>
      <c r="C203" s="1" t="s">
        <v>10</v>
      </c>
      <c r="E203" s="3"/>
      <c r="F203" s="3">
        <f t="shared" si="1"/>
        <v>0</v>
      </c>
    </row>
    <row r="204" ht="14.25" hidden="1" customHeight="1">
      <c r="A204" s="2" t="s">
        <v>14</v>
      </c>
      <c r="B204" s="1" t="s">
        <v>232</v>
      </c>
      <c r="C204" s="1" t="s">
        <v>10</v>
      </c>
      <c r="E204" s="3"/>
      <c r="F204" s="3">
        <f t="shared" si="1"/>
        <v>0</v>
      </c>
    </row>
    <row r="205" ht="14.25" hidden="1" customHeight="1">
      <c r="A205" s="2" t="s">
        <v>17</v>
      </c>
      <c r="B205" s="1" t="s">
        <v>233</v>
      </c>
      <c r="C205" s="1" t="s">
        <v>13</v>
      </c>
      <c r="E205" s="3"/>
      <c r="F205" s="3">
        <f t="shared" si="1"/>
        <v>0</v>
      </c>
    </row>
    <row r="206" ht="14.25" hidden="1" customHeight="1">
      <c r="A206" s="2" t="s">
        <v>17</v>
      </c>
      <c r="B206" s="1" t="s">
        <v>234</v>
      </c>
      <c r="C206" s="1" t="s">
        <v>13</v>
      </c>
      <c r="E206" s="3"/>
      <c r="F206" s="3">
        <f t="shared" si="1"/>
        <v>0</v>
      </c>
    </row>
    <row r="207" ht="14.25" hidden="1" customHeight="1">
      <c r="A207" s="2" t="s">
        <v>17</v>
      </c>
      <c r="B207" s="1" t="s">
        <v>235</v>
      </c>
      <c r="C207" s="1" t="s">
        <v>13</v>
      </c>
      <c r="E207" s="3"/>
      <c r="F207" s="3">
        <f t="shared" si="1"/>
        <v>0</v>
      </c>
    </row>
    <row r="208" ht="14.25" hidden="1" customHeight="1">
      <c r="A208" s="2" t="s">
        <v>17</v>
      </c>
      <c r="B208" s="1" t="s">
        <v>236</v>
      </c>
      <c r="C208" s="1" t="s">
        <v>13</v>
      </c>
      <c r="E208" s="3"/>
      <c r="F208" s="3">
        <f t="shared" si="1"/>
        <v>0</v>
      </c>
    </row>
    <row r="209" ht="14.25" hidden="1" customHeight="1">
      <c r="A209" s="2" t="s">
        <v>17</v>
      </c>
      <c r="B209" s="1" t="s">
        <v>237</v>
      </c>
      <c r="C209" s="1" t="s">
        <v>10</v>
      </c>
      <c r="E209" s="3"/>
      <c r="F209" s="3">
        <f t="shared" si="1"/>
        <v>0</v>
      </c>
    </row>
    <row r="210" ht="14.25" hidden="1" customHeight="1">
      <c r="A210" s="2" t="s">
        <v>17</v>
      </c>
      <c r="B210" s="1" t="s">
        <v>238</v>
      </c>
      <c r="C210" s="1" t="s">
        <v>13</v>
      </c>
      <c r="E210" s="3"/>
      <c r="F210" s="3">
        <f t="shared" si="1"/>
        <v>0</v>
      </c>
    </row>
    <row r="211" ht="14.25" hidden="1" customHeight="1">
      <c r="A211" s="2" t="s">
        <v>17</v>
      </c>
      <c r="B211" s="1" t="s">
        <v>239</v>
      </c>
      <c r="C211" s="1" t="s">
        <v>13</v>
      </c>
      <c r="E211" s="3"/>
      <c r="F211" s="3">
        <f t="shared" si="1"/>
        <v>0</v>
      </c>
    </row>
    <row r="212" ht="14.25" hidden="1" customHeight="1">
      <c r="A212" s="2" t="s">
        <v>17</v>
      </c>
      <c r="B212" s="1" t="s">
        <v>240</v>
      </c>
      <c r="C212" s="1" t="s">
        <v>13</v>
      </c>
      <c r="E212" s="3"/>
      <c r="F212" s="3">
        <f t="shared" si="1"/>
        <v>0</v>
      </c>
    </row>
    <row r="213" ht="14.25" hidden="1" customHeight="1">
      <c r="A213" s="2" t="s">
        <v>17</v>
      </c>
      <c r="B213" s="1" t="s">
        <v>241</v>
      </c>
      <c r="C213" s="1" t="s">
        <v>13</v>
      </c>
      <c r="E213" s="3"/>
      <c r="F213" s="3">
        <f t="shared" si="1"/>
        <v>0</v>
      </c>
    </row>
    <row r="214" ht="14.25" hidden="1" customHeight="1">
      <c r="A214" s="2" t="s">
        <v>17</v>
      </c>
      <c r="B214" s="1" t="s">
        <v>242</v>
      </c>
      <c r="C214" s="1" t="s">
        <v>13</v>
      </c>
      <c r="E214" s="3"/>
      <c r="F214" s="3">
        <f t="shared" si="1"/>
        <v>0</v>
      </c>
    </row>
    <row r="215" ht="14.25" hidden="1" customHeight="1">
      <c r="A215" s="2" t="s">
        <v>17</v>
      </c>
      <c r="B215" s="1" t="s">
        <v>243</v>
      </c>
      <c r="C215" s="1" t="s">
        <v>13</v>
      </c>
      <c r="E215" s="3"/>
      <c r="F215" s="3">
        <f t="shared" si="1"/>
        <v>0</v>
      </c>
    </row>
    <row r="216" ht="14.25" hidden="1" customHeight="1">
      <c r="A216" s="2" t="s">
        <v>17</v>
      </c>
      <c r="B216" s="1" t="s">
        <v>244</v>
      </c>
      <c r="C216" s="1" t="s">
        <v>10</v>
      </c>
      <c r="E216" s="3"/>
      <c r="F216" s="3">
        <f t="shared" si="1"/>
        <v>0</v>
      </c>
    </row>
    <row r="217" ht="14.25" hidden="1" customHeight="1">
      <c r="A217" s="2" t="s">
        <v>25</v>
      </c>
      <c r="B217" s="1" t="s">
        <v>245</v>
      </c>
      <c r="C217" s="1" t="s">
        <v>10</v>
      </c>
      <c r="E217" s="3"/>
      <c r="F217" s="3">
        <f t="shared" si="1"/>
        <v>0</v>
      </c>
    </row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217">
    <filterColumn colId="0">
      <filters>
        <filter val="BEBIDAS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2026-08-01T18:06:31Z</dcterms:created>
  <dc:creator>Jorge Guerrero Vega</dc:creator>
</cp:coreProperties>
</file>