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uerrero\Desktop\doña paula\"/>
    </mc:Choice>
  </mc:AlternateContent>
  <xr:revisionPtr revIDLastSave="0" documentId="13_ncr:1_{45D730C7-F95A-406C-B95F-DB9C45B895BC}" xr6:coauthVersionLast="47" xr6:coauthVersionMax="47" xr10:uidLastSave="{00000000-0000-0000-0000-000000000000}"/>
  <bookViews>
    <workbookView xWindow="-110" yWindow="-110" windowWidth="19420" windowHeight="10300" xr2:uid="{04F8968D-42E0-4928-8BCF-1C9E6156EE55}"/>
  </bookViews>
  <sheets>
    <sheet name="STOCK" sheetId="1" r:id="rId1"/>
    <sheet name="Vinos no inventariado" sheetId="4" r:id="rId2"/>
    <sheet name="Hoja1" sheetId="5" r:id="rId3"/>
    <sheet name="Hoja2" sheetId="6" r:id="rId4"/>
  </sheets>
  <externalReferences>
    <externalReference r:id="rId5"/>
  </externalReferences>
  <definedNames>
    <definedName name="_xlnm._FilterDatabase" localSheetId="2" hidden="1">Hoja1!$B$2:$E$16</definedName>
    <definedName name="_xlnm._FilterDatabase" localSheetId="0" hidden="1">STOCK!$A$1:$BS$78</definedName>
    <definedName name="_xlnm._FilterDatabase" localSheetId="1" hidden="1">'Vinos no inventariado'!$B$2:$I$21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9" i="1" l="1"/>
  <c r="I79" i="1"/>
  <c r="I68" i="1"/>
  <c r="C68" i="1" s="1"/>
  <c r="I77" i="1"/>
  <c r="C77" i="1" s="1"/>
  <c r="I76" i="1"/>
  <c r="C76" i="1" s="1"/>
  <c r="I75" i="1"/>
  <c r="C75" i="1" s="1"/>
  <c r="I25" i="1"/>
  <c r="C25" i="1" s="1"/>
  <c r="I24" i="1"/>
  <c r="C24" i="1" s="1"/>
  <c r="I65" i="1"/>
  <c r="C65" i="1" s="1"/>
  <c r="I53" i="1"/>
  <c r="C53" i="1" s="1"/>
  <c r="I44" i="1"/>
  <c r="C44" i="1" s="1"/>
  <c r="I7" i="1"/>
  <c r="C7" i="1" s="1"/>
  <c r="I36" i="1"/>
  <c r="C36" i="1" s="1"/>
  <c r="I52" i="1" l="1"/>
  <c r="C52" i="1" s="1"/>
  <c r="I26" i="1"/>
  <c r="C26" i="1" s="1"/>
  <c r="B9" i="1" l="1"/>
  <c r="B51" i="1"/>
  <c r="B63" i="1"/>
  <c r="B56" i="1"/>
  <c r="B74" i="1"/>
  <c r="B66" i="1"/>
  <c r="B31" i="1"/>
  <c r="B78" i="1"/>
  <c r="B37" i="1"/>
  <c r="B67" i="1"/>
  <c r="B10" i="1"/>
  <c r="B61" i="1"/>
  <c r="B5" i="1"/>
  <c r="B46" i="1"/>
  <c r="B39" i="1"/>
  <c r="B48" i="1"/>
  <c r="B54" i="1"/>
  <c r="B57" i="1"/>
  <c r="B47" i="1"/>
  <c r="B64" i="1"/>
  <c r="B43" i="1"/>
  <c r="B49" i="1"/>
  <c r="B35" i="1"/>
  <c r="B40" i="1"/>
  <c r="B50" i="1"/>
  <c r="B42" i="1"/>
  <c r="B3" i="1"/>
  <c r="B70" i="1"/>
  <c r="B38" i="1"/>
  <c r="B34" i="1"/>
  <c r="B33" i="1"/>
  <c r="B29" i="1"/>
  <c r="B22" i="1"/>
  <c r="B30" i="1"/>
  <c r="B19" i="1"/>
  <c r="B21" i="1"/>
  <c r="B27" i="1"/>
  <c r="B32" i="1"/>
  <c r="B20" i="1"/>
  <c r="B23" i="1"/>
  <c r="B15" i="1"/>
  <c r="B17" i="1"/>
  <c r="B18" i="1"/>
  <c r="B14" i="1"/>
  <c r="B16" i="1"/>
  <c r="B2" i="1"/>
  <c r="B13" i="1"/>
  <c r="B12" i="1"/>
  <c r="B11" i="1"/>
  <c r="B8" i="1"/>
  <c r="B45" i="1"/>
  <c r="B72" i="1"/>
  <c r="B73" i="1"/>
  <c r="B58" i="1"/>
  <c r="B55" i="1"/>
  <c r="I31" i="1" l="1"/>
  <c r="C31" i="1" s="1"/>
  <c r="I45" i="1"/>
  <c r="C45" i="1" s="1"/>
  <c r="I6" i="1"/>
  <c r="C6" i="1" s="1"/>
  <c r="I62" i="1"/>
  <c r="C62" i="1" s="1"/>
  <c r="I69" i="1"/>
  <c r="C69" i="1" s="1"/>
  <c r="I71" i="1"/>
  <c r="C71" i="1" s="1"/>
  <c r="I66" i="1"/>
  <c r="C66" i="1" s="1"/>
  <c r="I51" i="1"/>
  <c r="C51" i="1" s="1"/>
  <c r="I41" i="1"/>
  <c r="C41" i="1" s="1"/>
  <c r="I60" i="1"/>
  <c r="C60" i="1" s="1"/>
  <c r="I4" i="1"/>
  <c r="C4" i="1" s="1"/>
  <c r="I9" i="1"/>
  <c r="C9" i="1" s="1"/>
  <c r="I74" i="1"/>
  <c r="C74" i="1" s="1"/>
  <c r="I59" i="1"/>
  <c r="C59" i="1" s="1"/>
  <c r="I28" i="1"/>
  <c r="C28" i="1" s="1"/>
  <c r="I73" i="1"/>
  <c r="C73" i="1" s="1"/>
  <c r="I72" i="1"/>
  <c r="C72" i="1" s="1"/>
  <c r="I55" i="1"/>
  <c r="C55" i="1" s="1"/>
  <c r="I63" i="1"/>
  <c r="C63" i="1" s="1"/>
  <c r="I58" i="1"/>
  <c r="C58" i="1" s="1"/>
  <c r="I56" i="1"/>
  <c r="C56" i="1" s="1"/>
  <c r="I15" i="1"/>
  <c r="C15" i="1" s="1"/>
  <c r="I12" i="1"/>
  <c r="C12" i="1" s="1"/>
  <c r="I8" i="1"/>
  <c r="C8" i="1" s="1"/>
  <c r="I11" i="1"/>
  <c r="C11" i="1" s="1"/>
  <c r="I2" i="1"/>
  <c r="C2" i="1" s="1"/>
  <c r="I61" i="1"/>
  <c r="C61" i="1" s="1"/>
  <c r="I22" i="1"/>
  <c r="C22" i="1" s="1"/>
  <c r="I17" i="1"/>
  <c r="C17" i="1" s="1"/>
  <c r="I18" i="1"/>
  <c r="C18" i="1" s="1"/>
  <c r="I14" i="1"/>
  <c r="C14" i="1" s="1"/>
  <c r="I29" i="1"/>
  <c r="C29" i="1" s="1"/>
  <c r="I64" i="1"/>
  <c r="C64" i="1" s="1"/>
  <c r="I5" i="1"/>
  <c r="C5" i="1" s="1"/>
  <c r="I43" i="1"/>
  <c r="C43" i="1" s="1"/>
  <c r="I49" i="1"/>
  <c r="C49" i="1" s="1"/>
  <c r="I35" i="1"/>
  <c r="C35" i="1" s="1"/>
  <c r="I40" i="1"/>
  <c r="C40" i="1" s="1"/>
  <c r="I50" i="1"/>
  <c r="C50" i="1" s="1"/>
  <c r="I30" i="1"/>
  <c r="C30" i="1" s="1"/>
  <c r="I42" i="1"/>
  <c r="C42" i="1" s="1"/>
  <c r="I3" i="1"/>
  <c r="C3" i="1" s="1"/>
  <c r="I46" i="1"/>
  <c r="C46" i="1" s="1"/>
  <c r="I70" i="1"/>
  <c r="C70" i="1" s="1"/>
  <c r="I19" i="1"/>
  <c r="C19" i="1" s="1"/>
  <c r="I21" i="1"/>
  <c r="C21" i="1" s="1"/>
  <c r="I13" i="1"/>
  <c r="C13" i="1" s="1"/>
  <c r="I39" i="1"/>
  <c r="C39" i="1" s="1"/>
  <c r="I27" i="1"/>
  <c r="C27" i="1" s="1"/>
  <c r="I32" i="1"/>
  <c r="C32" i="1" s="1"/>
  <c r="I16" i="1"/>
  <c r="C16" i="1" s="1"/>
  <c r="I20" i="1"/>
  <c r="C20" i="1" s="1"/>
  <c r="I38" i="1"/>
  <c r="C38" i="1" s="1"/>
  <c r="I67" i="1"/>
  <c r="C67" i="1" s="1"/>
  <c r="I34" i="1"/>
  <c r="C34" i="1" s="1"/>
  <c r="I48" i="1"/>
  <c r="C48" i="1" s="1"/>
  <c r="I23" i="1"/>
  <c r="C23" i="1" s="1"/>
  <c r="I54" i="1"/>
  <c r="C54" i="1" s="1"/>
  <c r="I10" i="1"/>
  <c r="C10" i="1" s="1"/>
  <c r="I33" i="1"/>
  <c r="C33" i="1" s="1"/>
  <c r="I37" i="1"/>
  <c r="C37" i="1" s="1"/>
  <c r="I57" i="1"/>
  <c r="C57" i="1" s="1"/>
  <c r="I47" i="1"/>
  <c r="C47" i="1" s="1"/>
  <c r="I78" i="1"/>
  <c r="C78" i="1" s="1"/>
  <c r="C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tc={77A9439B-AA7E-41B4-850D-EDA8F3762AE0}</author>
    <author>tc={0C4B8D7A-B2EE-4276-8604-8389A5ADC9C1}</author>
    <author>tc={B39A97AE-E282-48EE-B316-EF14F16940F1}</author>
    <author>tc={0F32DAE3-0EB9-47F5-9DFC-25B717A605CD}</author>
    <author>tc={C4729070-0B1C-4F5E-A5F0-7A8285C6D9B4}</author>
  </authors>
  <commentList>
    <comment ref="C1" authorId="0" shapeId="0" xr:uid="{77A9439B-AA7E-41B4-850D-EDA8F3762AE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COSTO TOTAL</t>
      </text>
    </comment>
    <comment ref="BD8" authorId="1" shapeId="0" xr:uid="{0C4B8D7A-B2EE-4276-8604-8389A5ADC9C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Devolucion bar</t>
      </text>
    </comment>
    <comment ref="BD11" authorId="2" shapeId="0" xr:uid="{B39A97AE-E282-48EE-B316-EF14F16940F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Devolucion bar</t>
      </text>
    </comment>
    <comment ref="BI59" authorId="3" shapeId="0" xr:uid="{0F32DAE3-0EB9-47F5-9DFC-25B717A605CD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MERMA PRODUCTO CON FILTRACION </t>
      </text>
    </comment>
    <comment ref="BR74" authorId="4" shapeId="0" xr:uid="{C4729070-0B1C-4F5E-A5F0-7A8285C6D9B4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Wine shop 16-09
</t>
      </text>
    </comment>
  </commentList>
</comments>
</file>

<file path=xl/sharedStrings.xml><?xml version="1.0" encoding="utf-8"?>
<sst xmlns="http://schemas.openxmlformats.org/spreadsheetml/2006/main" count="376" uniqueCount="195">
  <si>
    <t>PTV1010212-NC</t>
  </si>
  <si>
    <t>PTV1010271-NC</t>
  </si>
  <si>
    <t>PTV1010612-NC</t>
  </si>
  <si>
    <t>PTV1010281-NC</t>
  </si>
  <si>
    <t>PTV1010211-NC</t>
  </si>
  <si>
    <t>PTV1012965-NC</t>
  </si>
  <si>
    <t>PTV1012982-NC</t>
  </si>
  <si>
    <t>PTV1012964-NC</t>
  </si>
  <si>
    <t>PTV1012963-NC</t>
  </si>
  <si>
    <t>PTV1012962-NC</t>
  </si>
  <si>
    <t>PTV1010301-NC</t>
  </si>
  <si>
    <t>PTV1010111-NC</t>
  </si>
  <si>
    <t>PTV1050411-21</t>
  </si>
  <si>
    <t>PTV1010601-NC</t>
  </si>
  <si>
    <t>PTV1010141-22</t>
  </si>
  <si>
    <t>PTV1069021-23</t>
  </si>
  <si>
    <t>PTV1052421</t>
  </si>
  <si>
    <t>PTV1015039</t>
  </si>
  <si>
    <t>PTV1010471-22</t>
  </si>
  <si>
    <t>PTV1010391-22</t>
  </si>
  <si>
    <t>PTV1051711-22-NC</t>
  </si>
  <si>
    <t>PTV1010240-24</t>
  </si>
  <si>
    <t>PTV1014030-24</t>
  </si>
  <si>
    <t>PTV1010310-24</t>
  </si>
  <si>
    <t>PTV1610524</t>
  </si>
  <si>
    <t>PTV1070543-24-NC</t>
  </si>
  <si>
    <t>PTV1069951-22-NC</t>
  </si>
  <si>
    <t>PTV1069921-23-NC</t>
  </si>
  <si>
    <t>PTV1067011</t>
  </si>
  <si>
    <t>PTV1067091</t>
  </si>
  <si>
    <t>PTV1070542-23-NC</t>
  </si>
  <si>
    <t>PTV1070544-23-NC</t>
  </si>
  <si>
    <t>PTV1010351-NC</t>
  </si>
  <si>
    <t>PTV1015369-NC</t>
  </si>
  <si>
    <t>PTV1015381</t>
  </si>
  <si>
    <t>PTV1015364-NC</t>
  </si>
  <si>
    <t>PTV1015366-NC</t>
  </si>
  <si>
    <t>PTV1015362-NC</t>
  </si>
  <si>
    <t>PTV1015361-NC</t>
  </si>
  <si>
    <t>PTV2000008</t>
  </si>
  <si>
    <t>APEROL</t>
  </si>
  <si>
    <t>un</t>
  </si>
  <si>
    <t>cj</t>
  </si>
  <si>
    <t>SPRITE 350CC ORIGINAL</t>
  </si>
  <si>
    <t>AGUA TONICA 350CC ORIGINAL</t>
  </si>
  <si>
    <t>GINGER ALE 350CC ORIGINAL</t>
  </si>
  <si>
    <t>PRODUCTO</t>
  </si>
  <si>
    <t>DESCRIPCION</t>
  </si>
  <si>
    <t>PTV1010131-NC</t>
  </si>
  <si>
    <t>PTV1610534</t>
  </si>
  <si>
    <t>PTV1019235</t>
  </si>
  <si>
    <t>PTV2000013</t>
  </si>
  <si>
    <t>PTV1019228</t>
  </si>
  <si>
    <t>PTV101003-6</t>
  </si>
  <si>
    <t>PTV101009-24</t>
  </si>
  <si>
    <t>PTV101002-6</t>
  </si>
  <si>
    <t>PTV101008-24</t>
  </si>
  <si>
    <t>PTV2000026</t>
  </si>
  <si>
    <t>PTV1030926</t>
  </si>
  <si>
    <t>CACHANTUN</t>
  </si>
  <si>
    <t>CACHANTUN 1,6 CG</t>
  </si>
  <si>
    <t>QTY</t>
  </si>
  <si>
    <t>VINO MEDALLA REAL SAUV.BLANC.750 CC X 6</t>
  </si>
  <si>
    <t>VINO MEDALLA REAL MERLOT 750CC X 6</t>
  </si>
  <si>
    <t>VINO MEDALLA REAL CHARDONNAY 750CC X 6</t>
  </si>
  <si>
    <t>VINO MEDALLA REAL CARMENERE 750 X 6</t>
  </si>
  <si>
    <t>VINO MEDALLA REAL CAB.SAUV.750 CC X 6</t>
  </si>
  <si>
    <t>VINO MEDALLA REAL G.RVA.SAUV BLANC 750</t>
  </si>
  <si>
    <t>VINO MEDALLA REAL GRAN RVA. CHARDONNAY</t>
  </si>
  <si>
    <t>VINO MEDALLA REAL GRAN RVA PINOTNOIR 750</t>
  </si>
  <si>
    <t>VINO MEDALLA REAL GRAN RVA. CARM 750</t>
  </si>
  <si>
    <t>VINO MEDALLA REAL GRAN RVA CAB SAUV 750</t>
  </si>
  <si>
    <t>ESCUDO DE CASA REAL CARMENERE (750X6)</t>
  </si>
  <si>
    <t>ESCUDO DE CASA REAL CAB SAV (750X6)</t>
  </si>
  <si>
    <t>ESCUDO DE CASA REAL SYRAH  (750X6)</t>
  </si>
  <si>
    <t>VINO CASA REAL RES.ESP CAB SAUV 750 2021</t>
  </si>
  <si>
    <t>ESCUDO DE CASA REAL MERLOT (750X6)</t>
  </si>
  <si>
    <t>VINO BOUGAINVILLE PETITE SYRAH 750c 2022</t>
  </si>
  <si>
    <t>VINO PEWEN CARMENERE 2023 750cc</t>
  </si>
  <si>
    <t>SELECCION DE BODEGA MALBEC 750</t>
  </si>
  <si>
    <t>VINO CARMEN DO LOMA SECA 750cc 2022</t>
  </si>
  <si>
    <t>VINO CARMEN DO MATORRAL CHILENO 2022 750</t>
  </si>
  <si>
    <t>VINO SANTA RITA TRIPLE C 2022 750cc</t>
  </si>
  <si>
    <t>VINO CARMEN DELANZ CHARDONNAY 2024 750X6</t>
  </si>
  <si>
    <t>CARMEN DELANZ APALTA CARMENERE  750cc x6</t>
  </si>
  <si>
    <t>VINO CARMEN DELANZ CAB SAUV 750cc 2024</t>
  </si>
  <si>
    <t>VINO ESPUMOSO CARMEN EXTRABRUT FK</t>
  </si>
  <si>
    <t>VINO FLORESTA CARMENERE 2024 750cc</t>
  </si>
  <si>
    <t>VINO FLORESTA CAB SAUV 750 CC 2022</t>
  </si>
  <si>
    <t>VINO FLORESTA CABERNET FRANC 2023 750 CC</t>
  </si>
  <si>
    <t>VINO CARMEN WINEMAKER RVE. RED 750</t>
  </si>
  <si>
    <t>VINO WINEMAKERS RESERVE BLACK WM-CA 750</t>
  </si>
  <si>
    <t>VINO FLORESTA FIELD BLEND BLANCO2023 750</t>
  </si>
  <si>
    <t>VINO FLORESTA CHARDONNAY 2023 750cc x 6</t>
  </si>
  <si>
    <t>VINO CARMEN VINTAGES SERIES VI (750/6)</t>
  </si>
  <si>
    <t>VINO CARMEN GRVA  PINOT NOIR 750cc x 6</t>
  </si>
  <si>
    <t>VINO CARMEN GRAN RVA CARIGNAN 750/6</t>
  </si>
  <si>
    <t>VINO CARMEN GRAN RESERVA MERLOT 750cc x6</t>
  </si>
  <si>
    <t>VINO CARMEN GRVA SYRAH 750 cc x 6</t>
  </si>
  <si>
    <t>VINO CARMEN GRVA CAB. SAUV 750cc x 6</t>
  </si>
  <si>
    <t>Pisco Alto del Carmen Trasparente 750cc</t>
  </si>
  <si>
    <t>LICOR RAMAZZOTTI ROSATO 700CC X6</t>
  </si>
  <si>
    <t>Whisky Johnnie Walker Red Label 750cc</t>
  </si>
  <si>
    <t>BOMBAY SAPPHIRE 750 47º</t>
  </si>
  <si>
    <t>JAHUEL Agua Mineral Pack 6x 1,6 Lt. SG</t>
  </si>
  <si>
    <t>JAHUEL Agua Mineral Box 24X 350cc SG</t>
  </si>
  <si>
    <t>JAHUEL Agua Mineral Pack 6x 1,6 Lt. CG</t>
  </si>
  <si>
    <t>JAHUEL Agua Mineral Box 24X 350cc CG</t>
  </si>
  <si>
    <t>Bebida Coca Cola Normal 350cc x 6</t>
  </si>
  <si>
    <t>CÓCTEL VINO 120 SABORES TERREMOTO 1.5Lx6</t>
  </si>
  <si>
    <t>GINGER ALE 350CC ZERO</t>
  </si>
  <si>
    <t>COCA COLA ZERO PET 1,5</t>
  </si>
  <si>
    <t>COCA COLA ZERO PET 1,5CC</t>
  </si>
  <si>
    <t>PTV1019123</t>
  </si>
  <si>
    <t>Aceite de Oliva Santiago Bidón 5 Litros</t>
  </si>
  <si>
    <t>STOCK</t>
  </si>
  <si>
    <t>SPRITE ORIGINAL PET 1,5</t>
  </si>
  <si>
    <t>SPRITE ORIGINAL PET 1,5CC</t>
  </si>
  <si>
    <t>PTV1235981</t>
  </si>
  <si>
    <t>120 TETRA TINTO  2000 CC</t>
  </si>
  <si>
    <t>PTV1240812</t>
  </si>
  <si>
    <t>120 TETRA GEMNA BCO. 1000 CC</t>
  </si>
  <si>
    <t>PTV1610535</t>
  </si>
  <si>
    <t>ESPUMANTE AMARANTA BRUT</t>
  </si>
  <si>
    <t>SPRITE 350CC ZERO</t>
  </si>
  <si>
    <t>GR</t>
  </si>
  <si>
    <t>COCA COLA ZERO PET 2LT</t>
  </si>
  <si>
    <t>COCA COLA ZERO PET 2</t>
  </si>
  <si>
    <t>PTV1070532</t>
  </si>
  <si>
    <t>VINO LATE HARVEST SANTA RITA</t>
  </si>
  <si>
    <t>PTV1610525</t>
  </si>
  <si>
    <t>VINO ESPUMOSO CARMEN BRUT FK</t>
  </si>
  <si>
    <t>PTV2000022</t>
  </si>
  <si>
    <t>Bebida Coca Cola sin azucar 350cc x 6</t>
  </si>
  <si>
    <t>19 CRIMES CALI RED  (6x750) 2021</t>
  </si>
  <si>
    <t>VINO CARMEN GRVA SAUV BLANC 750 cc x 6</t>
  </si>
  <si>
    <t>PROVEEDOR</t>
  </si>
  <si>
    <t>POLANCO</t>
  </si>
  <si>
    <t>CD</t>
  </si>
  <si>
    <t>COSTO UN</t>
  </si>
  <si>
    <t xml:space="preserve">CARMEN DO SEMILLON </t>
  </si>
  <si>
    <t>CARMEN GRAN RES CABERNET FRANC</t>
  </si>
  <si>
    <t>MEDALLA REAL GR SYRAH</t>
  </si>
  <si>
    <t>PTV1014035</t>
  </si>
  <si>
    <t>Carmen Reserva Frida Kahlo Rose</t>
  </si>
  <si>
    <t>PTV1014036</t>
  </si>
  <si>
    <t>Carmen Reserva Frida Kahlo Merlot</t>
  </si>
  <si>
    <t>PTV1010316</t>
  </si>
  <si>
    <t>Carmen Reserva Frida Kahlo Carmenere</t>
  </si>
  <si>
    <t>PTV1010571</t>
  </si>
  <si>
    <t>Carmen Reserva Frida Kahlo Cabernet Sauvignon</t>
  </si>
  <si>
    <t>PTV1015372-22</t>
  </si>
  <si>
    <t>PTV1012291-NC</t>
  </si>
  <si>
    <t>MEDALLA REAL GOLD CABERNET</t>
  </si>
  <si>
    <t>PACK</t>
  </si>
  <si>
    <t>PTV2000006</t>
  </si>
  <si>
    <t>Pisco Alto del Carmen Especial 1000cc</t>
  </si>
  <si>
    <t>PTV1070542-24-NC</t>
  </si>
  <si>
    <t>VINO FLORESTA FIELD BLEND BLANCO2024 750</t>
  </si>
  <si>
    <t>Javier Morales</t>
  </si>
  <si>
    <t>PTV1019184</t>
  </si>
  <si>
    <t>ESPUMANTE BRUT NATURE 750</t>
  </si>
  <si>
    <t>CC</t>
  </si>
  <si>
    <t>PTV1019277</t>
  </si>
  <si>
    <t>ACETO O-LIVE&amp;CO 2LTS</t>
  </si>
  <si>
    <t>CARMEN DELANZ APALTA CARMENERE</t>
  </si>
  <si>
    <t>PTV1014030-24-NC</t>
  </si>
  <si>
    <t>Regalo Paula Silva</t>
  </si>
  <si>
    <t>Jorge Guerrero regalo cumpleaños</t>
  </si>
  <si>
    <t>Javier Morales Evento 13-08</t>
  </si>
  <si>
    <t>QTY SO</t>
  </si>
  <si>
    <t>SOLICITUD</t>
  </si>
  <si>
    <t>OBS</t>
  </si>
  <si>
    <t>OBS1</t>
  </si>
  <si>
    <t>PTV1019048</t>
  </si>
  <si>
    <t>ESPUMANTE AMARANTA BRUT 750</t>
  </si>
  <si>
    <t>PTV1010310-24-NC</t>
  </si>
  <si>
    <t>VINO CARMEN DELANZ CAB SAUV 750 2024</t>
  </si>
  <si>
    <t>PTV1010141-22-NC</t>
  </si>
  <si>
    <t>VINO BOUGAINVILLE PETITE SYRAH  2022</t>
  </si>
  <si>
    <t>PTV1069021-23-NC</t>
  </si>
  <si>
    <t xml:space="preserve">VINO PEWEN CARMENERE 2023 </t>
  </si>
  <si>
    <t>PTV1031041</t>
  </si>
  <si>
    <t>RON MIJTANS DORADO</t>
  </si>
  <si>
    <t>COCTEL VINO GRAN 120 DULCE TINTO</t>
  </si>
  <si>
    <t>PTV1011924-ND</t>
  </si>
  <si>
    <t>Vino 120 Reserva Especial Carmenere</t>
  </si>
  <si>
    <t>PTV1011921-ND</t>
  </si>
  <si>
    <t>Vino 120 Reserva Especial Cabernet Sauvignon</t>
  </si>
  <si>
    <t>PTV2000007</t>
  </si>
  <si>
    <t>PISCO ALTO DEL CARMEN ESPECIAL 1500cc</t>
  </si>
  <si>
    <t>VINO CARMEN GRVA SAUV BLANC</t>
  </si>
  <si>
    <t>PTV1019237</t>
  </si>
  <si>
    <t>Whisky Jack Daniels Old 750cc</t>
  </si>
  <si>
    <t>JACK DANIELS S/ESTUCHE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</si>
</sst>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2" fontId="4" fillId="0" borderId="0" applyFont="0" applyFill="0" applyBorder="0" applyAlignment="0" applyProtection="0"/>
  </cellStyleXfs>
  <cellXfs count="18">
    <xf numFmtId="0" fontId="0" fillId="0" borderId="0" xfId="0"/>
    <xf numFmtId="0" fontId="1" fillId="2" borderId="0" xfId="0" applyFont="1" applyFill="1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top"/>
    </xf>
    <xf numFmtId="16" fontId="2" fillId="3" borderId="1" xfId="0" applyNumberFormat="1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42" fontId="2" fillId="3" borderId="1" xfId="1" applyFont="1" applyFill="1" applyBorder="1"/>
    <xf numFmtId="42" fontId="0" fillId="0" borderId="1" xfId="1" applyFont="1" applyBorder="1"/>
    <xf numFmtId="42" fontId="0" fillId="0" borderId="0" xfId="1" applyFont="1"/>
    <xf numFmtId="0" fontId="5" fillId="0" borderId="1" xfId="0" applyFont="1" applyBorder="1"/>
    <xf numFmtId="0" fontId="1" fillId="0" borderId="0" xfId="0" applyFont="1"/>
    <xf numFmtId="0" fontId="0" fillId="0" borderId="2" xfId="0" applyBorder="1"/>
    <xf numFmtId="0" fontId="5" fillId="4" borderId="1" xfId="0" applyFont="1" applyFill="1" applyBorder="1"/>
    <xf numFmtId="0" fontId="5" fillId="4" borderId="0" xfId="0" applyFont="1" applyFill="1"/>
    <xf numFmtId="16" fontId="0" fillId="0" borderId="1" xfId="0" applyNumberFormat="1" applyBorder="1"/>
    <xf numFmtId="0" fontId="0" fillId="0" borderId="2" xfId="0" applyFill="1" applyBorder="1"/>
  </cellXfs>
  <cellStyles count="2">
    <cellStyle name="Moneda [0]" xfId="1" builtinId="7"/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&#241;a%20paula%20repo.XLSX" TargetMode="External"/><Relationship Id="rId2" Type="http://schemas.openxmlformats.org/officeDocument/2006/relationships/externalLinkPath" Target="file:///C:\Users\jguerrero\Desktop\do&#241;a%20paula%20repo.XLSX" TargetMode="External"/><Relationship Id="rId1" Type="http://schemas.openxmlformats.org/officeDocument/2006/relationships/externalLinkPath" Target="/Users/jguerrero/Desktop/do&#241;a%20paula%20rep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A1" t="str">
            <v>Material</v>
          </cell>
          <cell r="B1" t="str">
            <v>Texto breve de material</v>
          </cell>
          <cell r="C1" t="str">
            <v>Libre utilización</v>
          </cell>
          <cell r="D1" t="str">
            <v>Ubicación</v>
          </cell>
          <cell r="E1" t="str">
            <v>Almacén</v>
          </cell>
          <cell r="F1" t="str">
            <v>Centro</v>
          </cell>
          <cell r="G1" t="str">
            <v>Grupo de artículos</v>
          </cell>
          <cell r="H1" t="str">
            <v>Unidad medida base</v>
          </cell>
          <cell r="I1" t="str">
            <v>Valor total</v>
          </cell>
          <cell r="J1" t="str">
            <v>En control calidad</v>
          </cell>
        </row>
        <row r="2">
          <cell r="A2" t="str">
            <v>7812</v>
          </cell>
          <cell r="B2" t="str">
            <v>CORTAGOTAS SANTA RITA 1U.C/SOBRE</v>
          </cell>
          <cell r="C2">
            <v>18</v>
          </cell>
          <cell r="D2" t="str">
            <v/>
          </cell>
          <cell r="E2" t="str">
            <v>304R</v>
          </cell>
          <cell r="F2" t="str">
            <v>3040</v>
          </cell>
          <cell r="G2" t="str">
            <v>V14202</v>
          </cell>
          <cell r="H2" t="str">
            <v>C/U</v>
          </cell>
          <cell r="I2">
            <v>9360</v>
          </cell>
          <cell r="J2">
            <v>520</v>
          </cell>
        </row>
        <row r="3">
          <cell r="A3" t="str">
            <v>16134</v>
          </cell>
          <cell r="B3" t="str">
            <v>BOLSA KRAFT 33*20*9 TOURS (2 BOT)</v>
          </cell>
          <cell r="C3">
            <v>10</v>
          </cell>
          <cell r="D3" t="str">
            <v/>
          </cell>
          <cell r="E3" t="str">
            <v>304R</v>
          </cell>
          <cell r="F3" t="str">
            <v>3040</v>
          </cell>
          <cell r="G3" t="str">
            <v>V12000</v>
          </cell>
          <cell r="H3" t="str">
            <v>C/U</v>
          </cell>
          <cell r="I3">
            <v>2750</v>
          </cell>
          <cell r="J3">
            <v>275</v>
          </cell>
        </row>
        <row r="4">
          <cell r="A4" t="str">
            <v>18452</v>
          </cell>
          <cell r="B4" t="str">
            <v>AIREADOR DECANTADOR CENTELLINO</v>
          </cell>
          <cell r="C4">
            <v>5</v>
          </cell>
          <cell r="D4" t="str">
            <v/>
          </cell>
          <cell r="E4" t="str">
            <v>304R</v>
          </cell>
          <cell r="F4" t="str">
            <v>3040</v>
          </cell>
          <cell r="G4" t="str">
            <v>V12000</v>
          </cell>
          <cell r="H4" t="str">
            <v>C/U</v>
          </cell>
          <cell r="I4">
            <v>161785</v>
          </cell>
          <cell r="J4">
            <v>32357</v>
          </cell>
        </row>
        <row r="5">
          <cell r="A5" t="str">
            <v>18458</v>
          </cell>
          <cell r="B5" t="str">
            <v>COPA DE CASA REAL RESERVA ESPECIAL</v>
          </cell>
          <cell r="C5">
            <v>3</v>
          </cell>
          <cell r="D5" t="str">
            <v/>
          </cell>
          <cell r="E5" t="str">
            <v>304R</v>
          </cell>
          <cell r="F5" t="str">
            <v>3040</v>
          </cell>
          <cell r="G5" t="str">
            <v>V12000</v>
          </cell>
          <cell r="H5" t="str">
            <v>C/U</v>
          </cell>
          <cell r="I5">
            <v>2471</v>
          </cell>
          <cell r="J5">
            <v>823.66666666666663</v>
          </cell>
        </row>
        <row r="6">
          <cell r="A6" t="str">
            <v>18459</v>
          </cell>
          <cell r="B6" t="str">
            <v>COPA DE PEHUEN</v>
          </cell>
          <cell r="C6">
            <v>9</v>
          </cell>
          <cell r="D6" t="str">
            <v/>
          </cell>
          <cell r="E6" t="str">
            <v>304R</v>
          </cell>
          <cell r="F6" t="str">
            <v>3040</v>
          </cell>
          <cell r="G6" t="str">
            <v>V12000</v>
          </cell>
          <cell r="H6" t="str">
            <v>C/U</v>
          </cell>
          <cell r="I6">
            <v>8641</v>
          </cell>
          <cell r="J6">
            <v>960.11111111111109</v>
          </cell>
        </row>
        <row r="7">
          <cell r="A7" t="str">
            <v>18483</v>
          </cell>
          <cell r="B7" t="str">
            <v>COPA DE DOÑA PAULA SELECCION DE BODEGA</v>
          </cell>
          <cell r="C7">
            <v>2</v>
          </cell>
          <cell r="D7" t="str">
            <v/>
          </cell>
          <cell r="E7" t="str">
            <v>304R</v>
          </cell>
          <cell r="F7" t="str">
            <v>3040</v>
          </cell>
          <cell r="G7" t="str">
            <v>V12000</v>
          </cell>
          <cell r="H7" t="str">
            <v>C/U</v>
          </cell>
          <cell r="I7">
            <v>3986</v>
          </cell>
          <cell r="J7">
            <v>1993</v>
          </cell>
        </row>
        <row r="8">
          <cell r="A8" t="str">
            <v>20832</v>
          </cell>
          <cell r="B8" t="str">
            <v>COPA DE BOUGAINVILLE</v>
          </cell>
          <cell r="C8">
            <v>4</v>
          </cell>
          <cell r="D8" t="str">
            <v/>
          </cell>
          <cell r="E8" t="str">
            <v>304R</v>
          </cell>
          <cell r="F8" t="str">
            <v>3040</v>
          </cell>
          <cell r="G8" t="str">
            <v>V12000</v>
          </cell>
          <cell r="H8" t="str">
            <v>C/U</v>
          </cell>
          <cell r="I8">
            <v>5153</v>
          </cell>
          <cell r="J8">
            <v>1288.25</v>
          </cell>
        </row>
        <row r="9">
          <cell r="A9" t="str">
            <v>38419</v>
          </cell>
          <cell r="B9" t="str">
            <v>PECHERA MEZCLILLA SANTA RITA</v>
          </cell>
          <cell r="C9">
            <v>6</v>
          </cell>
          <cell r="D9" t="str">
            <v/>
          </cell>
          <cell r="E9" t="str">
            <v>304R</v>
          </cell>
          <cell r="F9" t="str">
            <v>3040</v>
          </cell>
          <cell r="G9" t="str">
            <v>V12000</v>
          </cell>
          <cell r="H9" t="str">
            <v>C/U</v>
          </cell>
          <cell r="I9">
            <v>33060</v>
          </cell>
          <cell r="J9">
            <v>5510</v>
          </cell>
        </row>
        <row r="10">
          <cell r="A10" t="str">
            <v>43185</v>
          </cell>
          <cell r="B10" t="str">
            <v>COPA DE ESCUDO DE FAMILIA SYRAH</v>
          </cell>
          <cell r="C10">
            <v>1</v>
          </cell>
          <cell r="D10" t="str">
            <v/>
          </cell>
          <cell r="E10" t="str">
            <v>304R</v>
          </cell>
          <cell r="F10" t="str">
            <v>3040</v>
          </cell>
          <cell r="G10" t="str">
            <v>V12000</v>
          </cell>
          <cell r="H10" t="str">
            <v>C/U</v>
          </cell>
          <cell r="I10">
            <v>291</v>
          </cell>
          <cell r="J10">
            <v>291</v>
          </cell>
        </row>
        <row r="11">
          <cell r="A11" t="str">
            <v>48382</v>
          </cell>
          <cell r="B11" t="str">
            <v>MICROPOLAR BASICO MUJER NEGRO C/LOGO</v>
          </cell>
          <cell r="C11">
            <v>1</v>
          </cell>
          <cell r="D11" t="str">
            <v/>
          </cell>
          <cell r="E11" t="str">
            <v>304R</v>
          </cell>
          <cell r="F11" t="str">
            <v>3040</v>
          </cell>
          <cell r="G11" t="str">
            <v>V13401</v>
          </cell>
          <cell r="H11" t="str">
            <v>UN</v>
          </cell>
          <cell r="I11">
            <v>6091</v>
          </cell>
          <cell r="J11">
            <v>6091</v>
          </cell>
        </row>
        <row r="12">
          <cell r="A12" t="str">
            <v>59642</v>
          </cell>
          <cell r="B12" t="str">
            <v>PARKA TERMICA 3 EN 1 HOMRE NEGRA C/LOG</v>
          </cell>
          <cell r="C12">
            <v>3</v>
          </cell>
          <cell r="D12" t="str">
            <v/>
          </cell>
          <cell r="E12" t="str">
            <v>304R</v>
          </cell>
          <cell r="F12" t="str">
            <v>3040</v>
          </cell>
          <cell r="G12" t="str">
            <v>V13401</v>
          </cell>
          <cell r="H12" t="str">
            <v>UN</v>
          </cell>
          <cell r="I12">
            <v>75684</v>
          </cell>
          <cell r="J12">
            <v>25228</v>
          </cell>
        </row>
        <row r="13">
          <cell r="A13" t="str">
            <v>65014</v>
          </cell>
          <cell r="B13" t="str">
            <v>MANTEL 150X150,DOBLEZ DE 2,5CMS,TELA TWI</v>
          </cell>
          <cell r="C13">
            <v>94</v>
          </cell>
          <cell r="D13" t="str">
            <v/>
          </cell>
          <cell r="E13" t="str">
            <v>304R</v>
          </cell>
          <cell r="F13" t="str">
            <v>3040</v>
          </cell>
          <cell r="G13" t="str">
            <v>V12000</v>
          </cell>
          <cell r="H13" t="str">
            <v>C/U</v>
          </cell>
          <cell r="I13">
            <v>820244</v>
          </cell>
          <cell r="J13">
            <v>8726</v>
          </cell>
        </row>
        <row r="14">
          <cell r="A14" t="str">
            <v>65015</v>
          </cell>
          <cell r="B14" t="str">
            <v>SERVILLETA 50X50,DOBLEZ DE 2,5CMS,TELA T</v>
          </cell>
          <cell r="C14">
            <v>350</v>
          </cell>
          <cell r="D14" t="str">
            <v/>
          </cell>
          <cell r="E14" t="str">
            <v>304R</v>
          </cell>
          <cell r="F14" t="str">
            <v>3040</v>
          </cell>
          <cell r="G14" t="str">
            <v>V12000</v>
          </cell>
          <cell r="H14" t="str">
            <v>C/U</v>
          </cell>
          <cell r="I14">
            <v>710150</v>
          </cell>
          <cell r="J14">
            <v>2029</v>
          </cell>
        </row>
        <row r="15">
          <cell r="A15" t="str">
            <v>66214</v>
          </cell>
          <cell r="B15" t="str">
            <v>COPAS Winelovers Bordeaux</v>
          </cell>
          <cell r="C15">
            <v>728</v>
          </cell>
          <cell r="D15" t="str">
            <v/>
          </cell>
          <cell r="E15" t="str">
            <v>304R</v>
          </cell>
          <cell r="F15" t="str">
            <v>3040</v>
          </cell>
          <cell r="G15" t="str">
            <v>V12000</v>
          </cell>
          <cell r="H15" t="str">
            <v>C/U</v>
          </cell>
          <cell r="I15">
            <v>2534896</v>
          </cell>
          <cell r="J15">
            <v>3482</v>
          </cell>
        </row>
        <row r="16">
          <cell r="A16" t="str">
            <v>69529</v>
          </cell>
          <cell r="B16" t="str">
            <v>BOLSA KRAFT 40*30*15 GRANDE FORBES-TURIS</v>
          </cell>
          <cell r="C16">
            <v>3</v>
          </cell>
          <cell r="D16" t="str">
            <v/>
          </cell>
          <cell r="E16" t="str">
            <v>304R</v>
          </cell>
          <cell r="F16" t="str">
            <v>3040</v>
          </cell>
          <cell r="G16" t="str">
            <v>V12000</v>
          </cell>
          <cell r="H16" t="str">
            <v>C/U</v>
          </cell>
          <cell r="I16">
            <v>1350</v>
          </cell>
          <cell r="J16">
            <v>450</v>
          </cell>
        </row>
        <row r="17">
          <cell r="A17" t="str">
            <v>70743</v>
          </cell>
          <cell r="B17" t="str">
            <v>ACTUALITE SALSERA ESTRIADA 9.5</v>
          </cell>
          <cell r="C17">
            <v>90</v>
          </cell>
          <cell r="D17" t="str">
            <v/>
          </cell>
          <cell r="E17" t="str">
            <v>304R</v>
          </cell>
          <cell r="F17" t="str">
            <v>3040</v>
          </cell>
          <cell r="G17" t="str">
            <v>V12000</v>
          </cell>
          <cell r="H17" t="str">
            <v>C/U</v>
          </cell>
          <cell r="I17">
            <v>123030</v>
          </cell>
          <cell r="J17">
            <v>1367</v>
          </cell>
        </row>
        <row r="18">
          <cell r="A18" t="str">
            <v>PTV101002-6</v>
          </cell>
          <cell r="B18" t="str">
            <v>JAHUEL Agua Mineral Pack 6x 1,6 Lt. CG</v>
          </cell>
          <cell r="C18">
            <v>25</v>
          </cell>
          <cell r="D18" t="str">
            <v/>
          </cell>
          <cell r="E18" t="str">
            <v>304R</v>
          </cell>
          <cell r="F18" t="str">
            <v>3040</v>
          </cell>
          <cell r="G18" t="str">
            <v>V15006</v>
          </cell>
          <cell r="H18" t="str">
            <v>UN</v>
          </cell>
          <cell r="I18">
            <v>56175</v>
          </cell>
          <cell r="J18">
            <v>2247</v>
          </cell>
        </row>
        <row r="19">
          <cell r="A19" t="str">
            <v>PTV101003-6</v>
          </cell>
          <cell r="B19" t="str">
            <v>JAHUEL Agua Mineral Pack 6x 1,6 Lt. SG</v>
          </cell>
          <cell r="C19">
            <v>52</v>
          </cell>
          <cell r="D19" t="str">
            <v/>
          </cell>
          <cell r="E19" t="str">
            <v>304R</v>
          </cell>
          <cell r="F19" t="str">
            <v>3040</v>
          </cell>
          <cell r="G19" t="str">
            <v>V15006</v>
          </cell>
          <cell r="H19" t="str">
            <v>UN</v>
          </cell>
          <cell r="I19">
            <v>120744</v>
          </cell>
          <cell r="J19">
            <v>2322</v>
          </cell>
        </row>
        <row r="20">
          <cell r="A20" t="str">
            <v>PTV101008-24</v>
          </cell>
          <cell r="B20" t="str">
            <v>JAHUEL Agua Mineral Box 24X 350cc CG</v>
          </cell>
          <cell r="C20">
            <v>39</v>
          </cell>
          <cell r="D20" t="str">
            <v/>
          </cell>
          <cell r="E20" t="str">
            <v>304R</v>
          </cell>
          <cell r="F20" t="str">
            <v>3040</v>
          </cell>
          <cell r="G20" t="str">
            <v>V15006</v>
          </cell>
          <cell r="H20" t="str">
            <v>UN</v>
          </cell>
          <cell r="I20">
            <v>499707</v>
          </cell>
          <cell r="J20">
            <v>12813</v>
          </cell>
        </row>
        <row r="21">
          <cell r="A21" t="str">
            <v>PTV101009-24</v>
          </cell>
          <cell r="B21" t="str">
            <v>JAHUEL Agua Mineral Box 24X 350cc SG</v>
          </cell>
          <cell r="C21">
            <v>41</v>
          </cell>
          <cell r="D21" t="str">
            <v/>
          </cell>
          <cell r="E21" t="str">
            <v>304R</v>
          </cell>
          <cell r="F21" t="str">
            <v>3040</v>
          </cell>
          <cell r="G21" t="str">
            <v>V15006</v>
          </cell>
          <cell r="H21" t="str">
            <v>UN</v>
          </cell>
          <cell r="I21">
            <v>522504</v>
          </cell>
          <cell r="J21">
            <v>12744</v>
          </cell>
        </row>
        <row r="22">
          <cell r="A22" t="str">
            <v>PTV1010111-NC</v>
          </cell>
          <cell r="B22" t="str">
            <v>ESCUDO DE CASA REAL CAB SAV (750X6)</v>
          </cell>
          <cell r="C22">
            <v>16</v>
          </cell>
          <cell r="D22" t="str">
            <v/>
          </cell>
          <cell r="E22" t="str">
            <v>304R</v>
          </cell>
          <cell r="F22" t="str">
            <v>3040</v>
          </cell>
          <cell r="G22" t="str">
            <v>V15000</v>
          </cell>
          <cell r="H22" t="str">
            <v>UN</v>
          </cell>
          <cell r="I22">
            <v>51880</v>
          </cell>
          <cell r="J22">
            <v>3242.5</v>
          </cell>
        </row>
        <row r="23">
          <cell r="A23" t="str">
            <v>PTV1010131-NC</v>
          </cell>
          <cell r="B23" t="str">
            <v>ESCUDO DE CASA REAL SYRAH  (750X6)</v>
          </cell>
          <cell r="C23">
            <v>6</v>
          </cell>
          <cell r="D23" t="str">
            <v/>
          </cell>
          <cell r="E23" t="str">
            <v>304R</v>
          </cell>
          <cell r="F23" t="str">
            <v>3040</v>
          </cell>
          <cell r="G23" t="str">
            <v>V15000</v>
          </cell>
          <cell r="H23" t="str">
            <v>UN</v>
          </cell>
          <cell r="I23">
            <v>15813</v>
          </cell>
          <cell r="J23">
            <v>2635.5</v>
          </cell>
        </row>
        <row r="24">
          <cell r="A24" t="str">
            <v>PTV1010141-22</v>
          </cell>
          <cell r="B24" t="str">
            <v>VINO BOUGAINVILLE PETITE SYRAH 750c 2022</v>
          </cell>
          <cell r="C24">
            <v>25</v>
          </cell>
          <cell r="D24" t="str">
            <v/>
          </cell>
          <cell r="E24" t="str">
            <v>304R</v>
          </cell>
          <cell r="F24" t="str">
            <v>3040</v>
          </cell>
          <cell r="G24" t="str">
            <v>V15018</v>
          </cell>
          <cell r="H24" t="str">
            <v>UN</v>
          </cell>
          <cell r="I24">
            <v>238187</v>
          </cell>
          <cell r="J24">
            <v>9527.48</v>
          </cell>
        </row>
        <row r="25">
          <cell r="A25" t="str">
            <v>PTV1010171-NC</v>
          </cell>
          <cell r="B25" t="str">
            <v>VINO CARMEN GRVA FRIDA KAHLO CA 750cc x6</v>
          </cell>
          <cell r="C25">
            <v>2</v>
          </cell>
          <cell r="D25" t="str">
            <v/>
          </cell>
          <cell r="E25" t="str">
            <v>304R</v>
          </cell>
          <cell r="F25" t="str">
            <v>3040</v>
          </cell>
          <cell r="G25" t="str">
            <v>V15000</v>
          </cell>
          <cell r="H25" t="str">
            <v>UN</v>
          </cell>
          <cell r="I25">
            <v>5439</v>
          </cell>
          <cell r="J25">
            <v>2719.5</v>
          </cell>
        </row>
        <row r="26">
          <cell r="A26" t="str">
            <v>PTV1010211-NC</v>
          </cell>
          <cell r="B26" t="str">
            <v>VINO MEDALLA REAL CAB.SAUV.750 CC X 6</v>
          </cell>
          <cell r="C26">
            <v>15</v>
          </cell>
          <cell r="D26" t="str">
            <v/>
          </cell>
          <cell r="E26" t="str">
            <v>304R</v>
          </cell>
          <cell r="F26" t="str">
            <v>3040</v>
          </cell>
          <cell r="G26" t="str">
            <v>V15000</v>
          </cell>
          <cell r="H26" t="str">
            <v>UN</v>
          </cell>
          <cell r="I26">
            <v>32133</v>
          </cell>
          <cell r="J26">
            <v>2142.1999999999998</v>
          </cell>
        </row>
        <row r="27">
          <cell r="A27" t="str">
            <v>PTV1010212-NC</v>
          </cell>
          <cell r="B27" t="str">
            <v>VINO MEDALLA REAL SAUV.BLANC.750 CC X 6</v>
          </cell>
          <cell r="C27">
            <v>75</v>
          </cell>
          <cell r="D27" t="str">
            <v/>
          </cell>
          <cell r="E27" t="str">
            <v>304R</v>
          </cell>
          <cell r="F27" t="str">
            <v>3040</v>
          </cell>
          <cell r="G27" t="str">
            <v>V15000</v>
          </cell>
          <cell r="H27" t="str">
            <v>UN</v>
          </cell>
          <cell r="I27">
            <v>125456</v>
          </cell>
          <cell r="J27">
            <v>1672.7466666666667</v>
          </cell>
        </row>
        <row r="28">
          <cell r="A28" t="str">
            <v>PTV1010221</v>
          </cell>
          <cell r="B28" t="str">
            <v>VINO MEDALLA REAL CAB.SAUV.375 CC</v>
          </cell>
          <cell r="C28">
            <v>0</v>
          </cell>
          <cell r="D28" t="str">
            <v/>
          </cell>
          <cell r="E28" t="str">
            <v>304R</v>
          </cell>
          <cell r="F28" t="str">
            <v>3040</v>
          </cell>
          <cell r="G28" t="str">
            <v>V15000</v>
          </cell>
          <cell r="H28" t="str">
            <v>UN</v>
          </cell>
          <cell r="I28">
            <v>0</v>
          </cell>
          <cell r="J28" t="e">
            <v>#DIV/0!</v>
          </cell>
        </row>
        <row r="29">
          <cell r="A29" t="str">
            <v>PTV1010222</v>
          </cell>
          <cell r="B29" t="str">
            <v>VINO MEDALLA REAL SAUV.BLANC.375 CC</v>
          </cell>
          <cell r="C29">
            <v>0</v>
          </cell>
          <cell r="D29" t="str">
            <v/>
          </cell>
          <cell r="E29" t="str">
            <v>304R</v>
          </cell>
          <cell r="F29" t="str">
            <v>3040</v>
          </cell>
          <cell r="G29" t="str">
            <v>V15000</v>
          </cell>
          <cell r="H29" t="str">
            <v>UN</v>
          </cell>
          <cell r="I29">
            <v>0</v>
          </cell>
          <cell r="J29" t="e">
            <v>#DIV/0!</v>
          </cell>
        </row>
        <row r="30">
          <cell r="A30" t="str">
            <v>PTV1010240-24</v>
          </cell>
          <cell r="B30" t="str">
            <v>VINO CARMEN DELANZ CHARDONNAY 2024 750X6</v>
          </cell>
          <cell r="C30">
            <v>39</v>
          </cell>
          <cell r="D30" t="str">
            <v/>
          </cell>
          <cell r="E30" t="str">
            <v>304R</v>
          </cell>
          <cell r="F30" t="str">
            <v>3040</v>
          </cell>
          <cell r="G30" t="str">
            <v>V15018</v>
          </cell>
          <cell r="H30" t="str">
            <v>UN</v>
          </cell>
          <cell r="I30">
            <v>124644</v>
          </cell>
          <cell r="J30">
            <v>3196</v>
          </cell>
        </row>
        <row r="31">
          <cell r="A31" t="str">
            <v>PTV1010271-NC</v>
          </cell>
          <cell r="B31" t="str">
            <v>VINO MEDALLA REAL MERLOT 750CC X 6</v>
          </cell>
          <cell r="C31">
            <v>24</v>
          </cell>
          <cell r="D31" t="str">
            <v/>
          </cell>
          <cell r="E31" t="str">
            <v>304R</v>
          </cell>
          <cell r="F31" t="str">
            <v>3040</v>
          </cell>
          <cell r="G31" t="str">
            <v>V15000</v>
          </cell>
          <cell r="H31" t="str">
            <v>UN</v>
          </cell>
          <cell r="I31">
            <v>45199</v>
          </cell>
          <cell r="J31">
            <v>1883.2916666666667</v>
          </cell>
        </row>
        <row r="32">
          <cell r="A32" t="str">
            <v>PTV1010281-NC</v>
          </cell>
          <cell r="B32" t="str">
            <v>VINO MEDALLA REAL CARMENERE 750 X 6</v>
          </cell>
          <cell r="C32">
            <v>70</v>
          </cell>
          <cell r="D32" t="str">
            <v/>
          </cell>
          <cell r="E32" t="str">
            <v>304R</v>
          </cell>
          <cell r="F32" t="str">
            <v>3040</v>
          </cell>
          <cell r="G32" t="str">
            <v>V15000</v>
          </cell>
          <cell r="H32" t="str">
            <v>UN</v>
          </cell>
          <cell r="I32">
            <v>171766</v>
          </cell>
          <cell r="J32">
            <v>2453.8000000000002</v>
          </cell>
        </row>
        <row r="33">
          <cell r="A33" t="str">
            <v>PTV1010301-NC</v>
          </cell>
          <cell r="B33" t="str">
            <v>ESCUDO DE CASA REAL CARMENERE (750X6)</v>
          </cell>
          <cell r="C33">
            <v>76</v>
          </cell>
          <cell r="D33" t="str">
            <v/>
          </cell>
          <cell r="E33" t="str">
            <v>304R</v>
          </cell>
          <cell r="F33" t="str">
            <v>3040</v>
          </cell>
          <cell r="G33" t="str">
            <v>V15000</v>
          </cell>
          <cell r="H33" t="str">
            <v>UN</v>
          </cell>
          <cell r="I33">
            <v>190523</v>
          </cell>
          <cell r="J33">
            <v>2506.8815789473683</v>
          </cell>
        </row>
        <row r="34">
          <cell r="A34" t="str">
            <v>PTV1010310-23</v>
          </cell>
          <cell r="B34" t="str">
            <v>VINO CARMEN DELANZ CAB SAUV 750cc 2023</v>
          </cell>
          <cell r="C34">
            <v>18</v>
          </cell>
          <cell r="D34" t="str">
            <v/>
          </cell>
          <cell r="E34" t="str">
            <v>304R</v>
          </cell>
          <cell r="F34" t="str">
            <v>3040</v>
          </cell>
          <cell r="G34" t="str">
            <v>V15018</v>
          </cell>
          <cell r="H34" t="str">
            <v>UN</v>
          </cell>
          <cell r="I34">
            <v>149760</v>
          </cell>
          <cell r="J34">
            <v>8320</v>
          </cell>
        </row>
        <row r="35">
          <cell r="A35" t="str">
            <v>PTV1010310-24</v>
          </cell>
          <cell r="B35" t="str">
            <v>VINO CARMEN DELANZ CAB SAUV 750cc 2024</v>
          </cell>
          <cell r="C35">
            <v>12</v>
          </cell>
          <cell r="D35" t="str">
            <v/>
          </cell>
          <cell r="E35" t="str">
            <v>304R</v>
          </cell>
          <cell r="F35" t="str">
            <v>3040</v>
          </cell>
          <cell r="G35" t="str">
            <v>V15018</v>
          </cell>
          <cell r="H35" t="str">
            <v>UN</v>
          </cell>
          <cell r="I35">
            <v>99840</v>
          </cell>
          <cell r="J35">
            <v>8320</v>
          </cell>
        </row>
        <row r="36">
          <cell r="A36" t="str">
            <v>PTV1010351-NC</v>
          </cell>
          <cell r="B36" t="str">
            <v>VINO CARMEN VINTAGES SERIES VI (750/6)</v>
          </cell>
          <cell r="C36">
            <v>9</v>
          </cell>
          <cell r="D36" t="str">
            <v/>
          </cell>
          <cell r="E36" t="str">
            <v>304R</v>
          </cell>
          <cell r="F36" t="str">
            <v>3040</v>
          </cell>
          <cell r="G36" t="str">
            <v>V15000</v>
          </cell>
          <cell r="H36" t="str">
            <v>UN</v>
          </cell>
          <cell r="I36">
            <v>31509</v>
          </cell>
          <cell r="J36">
            <v>3501</v>
          </cell>
        </row>
        <row r="37">
          <cell r="A37" t="str">
            <v>PTV1010381-23</v>
          </cell>
          <cell r="B37" t="str">
            <v>VINO CARMEN DO FLORILLON VI 750CC</v>
          </cell>
          <cell r="C37">
            <v>4</v>
          </cell>
          <cell r="D37" t="str">
            <v/>
          </cell>
          <cell r="E37" t="str">
            <v>304R</v>
          </cell>
          <cell r="F37" t="str">
            <v>3040</v>
          </cell>
          <cell r="G37" t="str">
            <v>V15018</v>
          </cell>
          <cell r="H37" t="str">
            <v>UN</v>
          </cell>
          <cell r="I37">
            <v>17976</v>
          </cell>
          <cell r="J37">
            <v>4494</v>
          </cell>
        </row>
        <row r="38">
          <cell r="A38" t="str">
            <v>PTV1010391-22</v>
          </cell>
          <cell r="B38" t="str">
            <v>VINO CARMEN DO MATORRAL CHILENO 2022 750</v>
          </cell>
          <cell r="C38">
            <v>11</v>
          </cell>
          <cell r="D38" t="str">
            <v/>
          </cell>
          <cell r="E38" t="str">
            <v>304R</v>
          </cell>
          <cell r="F38" t="str">
            <v>3040</v>
          </cell>
          <cell r="G38" t="str">
            <v>V15000</v>
          </cell>
          <cell r="H38" t="str">
            <v>UN</v>
          </cell>
          <cell r="I38">
            <v>33748</v>
          </cell>
          <cell r="J38">
            <v>3068</v>
          </cell>
        </row>
        <row r="39">
          <cell r="A39" t="str">
            <v>PTV1010471-22</v>
          </cell>
          <cell r="B39" t="str">
            <v>VINO CARMEN DO LOMA SECA 750cc 2022</v>
          </cell>
          <cell r="C39">
            <v>12</v>
          </cell>
          <cell r="D39" t="str">
            <v/>
          </cell>
          <cell r="E39" t="str">
            <v>304R</v>
          </cell>
          <cell r="F39" t="str">
            <v>3040</v>
          </cell>
          <cell r="G39" t="str">
            <v>V15018</v>
          </cell>
          <cell r="H39" t="str">
            <v>UN</v>
          </cell>
          <cell r="I39">
            <v>35520</v>
          </cell>
          <cell r="J39">
            <v>2960</v>
          </cell>
        </row>
        <row r="40">
          <cell r="A40" t="str">
            <v>PTV1010601-NC</v>
          </cell>
          <cell r="B40" t="str">
            <v>ESCUDO DE CASA REAL MERLOT (750X6)</v>
          </cell>
          <cell r="C40">
            <v>23</v>
          </cell>
          <cell r="D40" t="str">
            <v/>
          </cell>
          <cell r="E40" t="str">
            <v>304R</v>
          </cell>
          <cell r="F40" t="str">
            <v>3040</v>
          </cell>
          <cell r="G40" t="str">
            <v>V15000</v>
          </cell>
          <cell r="H40" t="str">
            <v>UN</v>
          </cell>
          <cell r="I40">
            <v>52181</v>
          </cell>
          <cell r="J40">
            <v>2268.7391304347825</v>
          </cell>
        </row>
        <row r="41">
          <cell r="A41" t="str">
            <v>PTV1010612-NC</v>
          </cell>
          <cell r="B41" t="str">
            <v>VINO MEDALLA REAL CHARDONNAY 750CC X 6</v>
          </cell>
          <cell r="C41">
            <v>25</v>
          </cell>
          <cell r="D41" t="str">
            <v/>
          </cell>
          <cell r="E41" t="str">
            <v>304R</v>
          </cell>
          <cell r="F41" t="str">
            <v>3040</v>
          </cell>
          <cell r="G41" t="str">
            <v>V15000</v>
          </cell>
          <cell r="H41" t="str">
            <v>UN</v>
          </cell>
          <cell r="I41">
            <v>45234</v>
          </cell>
          <cell r="J41">
            <v>1809.36</v>
          </cell>
        </row>
        <row r="42">
          <cell r="A42" t="str">
            <v>PTV1012962-NC</v>
          </cell>
          <cell r="B42" t="str">
            <v>VINO MEDALLA REAL GRAN RVA CAB SAUV 750</v>
          </cell>
          <cell r="C42">
            <v>17</v>
          </cell>
          <cell r="D42" t="str">
            <v/>
          </cell>
          <cell r="E42" t="str">
            <v>304R</v>
          </cell>
          <cell r="F42" t="str">
            <v>3040</v>
          </cell>
          <cell r="G42" t="str">
            <v>V15000</v>
          </cell>
          <cell r="H42" t="str">
            <v>UN</v>
          </cell>
          <cell r="I42">
            <v>39918</v>
          </cell>
          <cell r="J42">
            <v>2348.1176470588234</v>
          </cell>
        </row>
        <row r="43">
          <cell r="A43" t="str">
            <v>PTV1012963-NC</v>
          </cell>
          <cell r="B43" t="str">
            <v>VINO MEDALLA REAL GRAN RVA. CARM 750</v>
          </cell>
          <cell r="C43">
            <v>23</v>
          </cell>
          <cell r="D43" t="str">
            <v/>
          </cell>
          <cell r="E43" t="str">
            <v>304R</v>
          </cell>
          <cell r="F43" t="str">
            <v>3040</v>
          </cell>
          <cell r="G43" t="str">
            <v>V15000</v>
          </cell>
          <cell r="H43" t="str">
            <v>UN</v>
          </cell>
          <cell r="I43">
            <v>55569</v>
          </cell>
          <cell r="J43">
            <v>2416.0434782608695</v>
          </cell>
        </row>
        <row r="44">
          <cell r="A44" t="str">
            <v>PTV1012964-NC</v>
          </cell>
          <cell r="B44" t="str">
            <v>VINO MEDALLA REAL GRAN RVA PINOTNOIR 750</v>
          </cell>
          <cell r="C44">
            <v>4</v>
          </cell>
          <cell r="D44" t="str">
            <v/>
          </cell>
          <cell r="E44" t="str">
            <v>304R</v>
          </cell>
          <cell r="F44" t="str">
            <v>3040</v>
          </cell>
          <cell r="G44" t="str">
            <v>V15000</v>
          </cell>
          <cell r="H44" t="str">
            <v>UN</v>
          </cell>
          <cell r="I44">
            <v>16532</v>
          </cell>
          <cell r="J44">
            <v>4133</v>
          </cell>
        </row>
        <row r="45">
          <cell r="A45" t="str">
            <v>PTV1012965-NC</v>
          </cell>
          <cell r="B45" t="str">
            <v>VINO MEDALLA REAL G.RVA.SAUV BLANC 750</v>
          </cell>
          <cell r="C45">
            <v>73</v>
          </cell>
          <cell r="D45" t="str">
            <v/>
          </cell>
          <cell r="E45" t="str">
            <v>304R</v>
          </cell>
          <cell r="F45" t="str">
            <v>3040</v>
          </cell>
          <cell r="G45" t="str">
            <v>V15000</v>
          </cell>
          <cell r="H45" t="str">
            <v>UN</v>
          </cell>
          <cell r="I45">
            <v>308664</v>
          </cell>
          <cell r="J45">
            <v>4228.2739726027394</v>
          </cell>
        </row>
        <row r="46">
          <cell r="A46" t="str">
            <v>PTV1012982-NC</v>
          </cell>
          <cell r="B46" t="str">
            <v>VINO MEDALLA REAL GRAN RVA. CHARDONNAY</v>
          </cell>
          <cell r="C46">
            <v>22</v>
          </cell>
          <cell r="D46" t="str">
            <v/>
          </cell>
          <cell r="E46" t="str">
            <v>304R</v>
          </cell>
          <cell r="F46" t="str">
            <v>3040</v>
          </cell>
          <cell r="G46" t="str">
            <v>V15000</v>
          </cell>
          <cell r="H46" t="str">
            <v>UN</v>
          </cell>
          <cell r="I46">
            <v>63237</v>
          </cell>
          <cell r="J46">
            <v>2874.409090909091</v>
          </cell>
        </row>
        <row r="47">
          <cell r="A47" t="str">
            <v>PTV1014030-24</v>
          </cell>
          <cell r="B47" t="str">
            <v>CARMEN DELANZ APALTA CARMENERE  750cc x6</v>
          </cell>
          <cell r="C47">
            <v>52</v>
          </cell>
          <cell r="D47" t="str">
            <v/>
          </cell>
          <cell r="E47" t="str">
            <v>304R</v>
          </cell>
          <cell r="F47" t="str">
            <v>3040</v>
          </cell>
          <cell r="G47" t="str">
            <v>V15018</v>
          </cell>
          <cell r="H47" t="str">
            <v>UN</v>
          </cell>
          <cell r="I47">
            <v>347100</v>
          </cell>
          <cell r="J47">
            <v>6675</v>
          </cell>
        </row>
        <row r="48">
          <cell r="A48" t="str">
            <v>PTV1015361-NC</v>
          </cell>
          <cell r="B48" t="str">
            <v>VINO CARMEN GRVA CAB. SAUV 750cc x 6</v>
          </cell>
          <cell r="C48">
            <v>25</v>
          </cell>
          <cell r="D48" t="str">
            <v/>
          </cell>
          <cell r="E48" t="str">
            <v>304R</v>
          </cell>
          <cell r="F48" t="str">
            <v>3040</v>
          </cell>
          <cell r="G48" t="str">
            <v>V15000</v>
          </cell>
          <cell r="H48" t="str">
            <v>UN</v>
          </cell>
          <cell r="I48">
            <v>76855</v>
          </cell>
          <cell r="J48">
            <v>3074.2</v>
          </cell>
        </row>
        <row r="49">
          <cell r="A49" t="str">
            <v>PTV1015363-NC</v>
          </cell>
          <cell r="B49" t="str">
            <v>VINO CARMEN GRVA CHARDONNAY 750cc x 6</v>
          </cell>
          <cell r="C49">
            <v>3</v>
          </cell>
          <cell r="D49" t="str">
            <v/>
          </cell>
          <cell r="E49" t="str">
            <v>304R</v>
          </cell>
          <cell r="F49" t="str">
            <v>3040</v>
          </cell>
          <cell r="G49" t="str">
            <v>V15000</v>
          </cell>
          <cell r="H49" t="str">
            <v>UN</v>
          </cell>
          <cell r="I49">
            <v>6847</v>
          </cell>
          <cell r="J49">
            <v>2282.3333333333335</v>
          </cell>
        </row>
        <row r="50">
          <cell r="A50" t="str">
            <v>PTV1015364-NC</v>
          </cell>
          <cell r="B50" t="str">
            <v>VINO CARMEN GRAN RESERVA MERLOT 750cc x6</v>
          </cell>
          <cell r="C50">
            <v>5</v>
          </cell>
          <cell r="D50" t="str">
            <v/>
          </cell>
          <cell r="E50" t="str">
            <v>304R</v>
          </cell>
          <cell r="F50" t="str">
            <v>3040</v>
          </cell>
          <cell r="G50" t="str">
            <v>V15000</v>
          </cell>
          <cell r="H50" t="str">
            <v>UN</v>
          </cell>
          <cell r="I50">
            <v>10491</v>
          </cell>
          <cell r="J50">
            <v>2098.1999999999998</v>
          </cell>
        </row>
        <row r="51">
          <cell r="A51" t="str">
            <v>PTV1015366-NC</v>
          </cell>
          <cell r="B51" t="str">
            <v>VINO CARMEN GRVA SYRAH 750 cc x 6</v>
          </cell>
          <cell r="C51">
            <v>6</v>
          </cell>
          <cell r="D51" t="str">
            <v/>
          </cell>
          <cell r="E51" t="str">
            <v>304R</v>
          </cell>
          <cell r="F51" t="str">
            <v>3040</v>
          </cell>
          <cell r="G51" t="str">
            <v>V15000</v>
          </cell>
          <cell r="H51" t="str">
            <v>UN</v>
          </cell>
          <cell r="I51">
            <v>15627</v>
          </cell>
          <cell r="J51">
            <v>2604.5</v>
          </cell>
        </row>
        <row r="52">
          <cell r="A52" t="str">
            <v>PTV1015369-NC</v>
          </cell>
          <cell r="B52" t="str">
            <v>VINO CARMEN GRVA  PINOT NOIR 750cc x 6</v>
          </cell>
          <cell r="C52">
            <v>4</v>
          </cell>
          <cell r="D52" t="str">
            <v/>
          </cell>
          <cell r="E52" t="str">
            <v>304R</v>
          </cell>
          <cell r="F52" t="str">
            <v>3040</v>
          </cell>
          <cell r="G52" t="str">
            <v>V15000</v>
          </cell>
          <cell r="H52" t="str">
            <v>UN</v>
          </cell>
          <cell r="I52">
            <v>10588</v>
          </cell>
          <cell r="J52">
            <v>2647</v>
          </cell>
        </row>
        <row r="53">
          <cell r="A53" t="str">
            <v>PTV1015381</v>
          </cell>
          <cell r="B53" t="str">
            <v>VINO CARMEN GRAN RVA CARIGNAN 750/6</v>
          </cell>
          <cell r="C53">
            <v>4</v>
          </cell>
          <cell r="D53" t="str">
            <v/>
          </cell>
          <cell r="E53" t="str">
            <v>304R</v>
          </cell>
          <cell r="F53" t="str">
            <v>3040</v>
          </cell>
          <cell r="G53" t="str">
            <v>V15000</v>
          </cell>
          <cell r="H53" t="str">
            <v>UN</v>
          </cell>
          <cell r="I53">
            <v>9625</v>
          </cell>
          <cell r="J53">
            <v>2406.25</v>
          </cell>
        </row>
        <row r="54">
          <cell r="A54" t="str">
            <v>PTV1019123</v>
          </cell>
          <cell r="B54" t="str">
            <v>Aceite de Oliva Santiago Bidón 5 Litros</v>
          </cell>
          <cell r="C54">
            <v>5</v>
          </cell>
          <cell r="D54" t="str">
            <v/>
          </cell>
          <cell r="E54" t="str">
            <v>304R</v>
          </cell>
          <cell r="F54" t="str">
            <v>3040</v>
          </cell>
          <cell r="G54" t="str">
            <v>V15006</v>
          </cell>
          <cell r="H54" t="str">
            <v>UN</v>
          </cell>
          <cell r="I54">
            <v>193330</v>
          </cell>
          <cell r="J54">
            <v>38666</v>
          </cell>
        </row>
        <row r="55">
          <cell r="A55" t="str">
            <v>PTV1019184</v>
          </cell>
          <cell r="B55" t="str">
            <v>ESPUMANTE BRUT NATURE 750cc</v>
          </cell>
          <cell r="C55">
            <v>1</v>
          </cell>
          <cell r="D55" t="str">
            <v/>
          </cell>
          <cell r="E55" t="str">
            <v>304R</v>
          </cell>
          <cell r="F55" t="str">
            <v>3040</v>
          </cell>
          <cell r="G55" t="str">
            <v>V15014</v>
          </cell>
          <cell r="H55" t="str">
            <v>UN</v>
          </cell>
          <cell r="I55">
            <v>9349</v>
          </cell>
          <cell r="J55">
            <v>9349</v>
          </cell>
        </row>
        <row r="56">
          <cell r="A56" t="str">
            <v>PTV1019228</v>
          </cell>
          <cell r="B56" t="str">
            <v>BOMBAY SAPPHIRE 750 47º</v>
          </cell>
          <cell r="C56">
            <v>6</v>
          </cell>
          <cell r="D56" t="str">
            <v/>
          </cell>
          <cell r="E56" t="str">
            <v>304R</v>
          </cell>
          <cell r="F56" t="str">
            <v>3040</v>
          </cell>
          <cell r="G56" t="str">
            <v>V15006</v>
          </cell>
          <cell r="H56" t="str">
            <v>UN</v>
          </cell>
          <cell r="I56">
            <v>44790</v>
          </cell>
          <cell r="J56">
            <v>7465</v>
          </cell>
        </row>
        <row r="57">
          <cell r="A57" t="str">
            <v>PTV1019235</v>
          </cell>
          <cell r="B57" t="str">
            <v>LICOR RAMAZZOTTI ROSATO 700CC X6</v>
          </cell>
          <cell r="C57">
            <v>3</v>
          </cell>
          <cell r="D57" t="str">
            <v/>
          </cell>
          <cell r="E57" t="str">
            <v>304R</v>
          </cell>
          <cell r="F57" t="str">
            <v>3040</v>
          </cell>
          <cell r="G57" t="str">
            <v>V15006</v>
          </cell>
          <cell r="H57" t="str">
            <v>UN</v>
          </cell>
          <cell r="I57">
            <v>18921</v>
          </cell>
          <cell r="J57">
            <v>6307</v>
          </cell>
        </row>
        <row r="58">
          <cell r="A58" t="str">
            <v>PTV1030926</v>
          </cell>
          <cell r="B58" t="str">
            <v>CÓCTEL VINO 120 SABORES TERREMOTO 1.5Lx6</v>
          </cell>
          <cell r="C58">
            <v>121</v>
          </cell>
          <cell r="D58" t="str">
            <v/>
          </cell>
          <cell r="E58" t="str">
            <v>304R</v>
          </cell>
          <cell r="F58" t="str">
            <v>3040</v>
          </cell>
          <cell r="G58" t="str">
            <v>V15000</v>
          </cell>
          <cell r="H58" t="str">
            <v>UN</v>
          </cell>
          <cell r="I58">
            <v>173619</v>
          </cell>
          <cell r="J58">
            <v>1434.8677685950413</v>
          </cell>
        </row>
        <row r="59">
          <cell r="A59" t="str">
            <v>PTV1050411-21</v>
          </cell>
          <cell r="B59" t="str">
            <v>VINO CASA REAL RES.ESP CAB SAUV 750 2021</v>
          </cell>
          <cell r="C59">
            <v>21</v>
          </cell>
          <cell r="D59" t="str">
            <v/>
          </cell>
          <cell r="E59" t="str">
            <v>304R</v>
          </cell>
          <cell r="F59" t="str">
            <v>3040</v>
          </cell>
          <cell r="G59" t="str">
            <v>V15018</v>
          </cell>
          <cell r="H59" t="str">
            <v>UN</v>
          </cell>
          <cell r="I59">
            <v>240817</v>
          </cell>
          <cell r="J59">
            <v>11467.476190476191</v>
          </cell>
        </row>
        <row r="60">
          <cell r="A60" t="str">
            <v>PTV1051711-22-NC</v>
          </cell>
          <cell r="B60" t="str">
            <v>VINO SANTA RITA TRIPLE C 2022 750cc</v>
          </cell>
          <cell r="C60">
            <v>69</v>
          </cell>
          <cell r="D60" t="str">
            <v/>
          </cell>
          <cell r="E60" t="str">
            <v>304R</v>
          </cell>
          <cell r="F60" t="str">
            <v>3040</v>
          </cell>
          <cell r="G60" t="str">
            <v>V15018</v>
          </cell>
          <cell r="H60" t="str">
            <v>UN</v>
          </cell>
          <cell r="I60">
            <v>304266</v>
          </cell>
          <cell r="J60">
            <v>4409.652173913043</v>
          </cell>
        </row>
        <row r="61">
          <cell r="A61" t="str">
            <v>PTV1052411</v>
          </cell>
          <cell r="B61" t="str">
            <v>VINO DOÑA PAULA ESTATE MALBEC  750</v>
          </cell>
          <cell r="C61">
            <v>3</v>
          </cell>
          <cell r="D61" t="str">
            <v/>
          </cell>
          <cell r="E61" t="str">
            <v>304R</v>
          </cell>
          <cell r="F61" t="str">
            <v>3040</v>
          </cell>
          <cell r="G61" t="str">
            <v>V15000</v>
          </cell>
          <cell r="H61" t="str">
            <v>UN</v>
          </cell>
          <cell r="I61">
            <v>8309</v>
          </cell>
          <cell r="J61">
            <v>2769.6666666666665</v>
          </cell>
        </row>
        <row r="62">
          <cell r="A62" t="str">
            <v>PTV1052421</v>
          </cell>
          <cell r="B62" t="str">
            <v>SELECCION DE BODEGA MALBEC 750</v>
          </cell>
          <cell r="C62">
            <v>8</v>
          </cell>
          <cell r="D62" t="str">
            <v/>
          </cell>
          <cell r="E62" t="str">
            <v>304R</v>
          </cell>
          <cell r="F62" t="str">
            <v>3040</v>
          </cell>
          <cell r="G62" t="str">
            <v>V15000</v>
          </cell>
          <cell r="H62" t="str">
            <v>UN</v>
          </cell>
          <cell r="I62">
            <v>170618</v>
          </cell>
          <cell r="J62">
            <v>21327.25</v>
          </cell>
        </row>
        <row r="63">
          <cell r="A63" t="str">
            <v>PTV1052432</v>
          </cell>
          <cell r="B63" t="str">
            <v>Espumante Doña Paula Sauv Blanc750Cc6Un</v>
          </cell>
          <cell r="C63">
            <v>5</v>
          </cell>
          <cell r="D63" t="str">
            <v/>
          </cell>
          <cell r="E63" t="str">
            <v>304R</v>
          </cell>
          <cell r="F63" t="str">
            <v>3040</v>
          </cell>
          <cell r="G63" t="str">
            <v>V15014</v>
          </cell>
          <cell r="H63" t="str">
            <v>UN</v>
          </cell>
          <cell r="I63">
            <v>16727</v>
          </cell>
          <cell r="J63">
            <v>3345.4</v>
          </cell>
        </row>
        <row r="64">
          <cell r="A64" t="str">
            <v>PTV1067011</v>
          </cell>
          <cell r="B64" t="str">
            <v>VINO CARMEN WINEMAKER RVE. RED 750</v>
          </cell>
          <cell r="C64">
            <v>21</v>
          </cell>
          <cell r="D64" t="str">
            <v/>
          </cell>
          <cell r="E64" t="str">
            <v>304R</v>
          </cell>
          <cell r="F64" t="str">
            <v>3040</v>
          </cell>
          <cell r="G64" t="str">
            <v>V15000</v>
          </cell>
          <cell r="H64" t="str">
            <v>UN</v>
          </cell>
          <cell r="I64">
            <v>60254</v>
          </cell>
          <cell r="J64">
            <v>2869.2380952380954</v>
          </cell>
        </row>
        <row r="65">
          <cell r="A65" t="str">
            <v>PTV1067091</v>
          </cell>
          <cell r="B65" t="str">
            <v>VINO WINEMAKERS RESERVE BLACK WM-CA 750</v>
          </cell>
          <cell r="C65">
            <v>11</v>
          </cell>
          <cell r="D65" t="str">
            <v/>
          </cell>
          <cell r="E65" t="str">
            <v>304R</v>
          </cell>
          <cell r="F65" t="str">
            <v>3040</v>
          </cell>
          <cell r="G65" t="str">
            <v>V15000</v>
          </cell>
          <cell r="H65" t="str">
            <v>UN</v>
          </cell>
          <cell r="I65">
            <v>38737</v>
          </cell>
          <cell r="J65">
            <v>3521.5454545454545</v>
          </cell>
        </row>
        <row r="66">
          <cell r="A66" t="str">
            <v>PTV1069021-23</v>
          </cell>
          <cell r="B66" t="str">
            <v>VINO PEWEN CARMENERE 2023 750cc</v>
          </cell>
          <cell r="C66">
            <v>31</v>
          </cell>
          <cell r="D66" t="str">
            <v/>
          </cell>
          <cell r="E66" t="str">
            <v>304R</v>
          </cell>
          <cell r="F66" t="str">
            <v>3040</v>
          </cell>
          <cell r="G66" t="str">
            <v>V15018</v>
          </cell>
          <cell r="H66" t="str">
            <v>UN</v>
          </cell>
          <cell r="I66">
            <v>346983</v>
          </cell>
          <cell r="J66">
            <v>11193</v>
          </cell>
        </row>
        <row r="67">
          <cell r="A67" t="str">
            <v>PTV1069921-23-NC</v>
          </cell>
          <cell r="B67" t="str">
            <v>VINO FLORESTA CABERNET FRANC 2023 750 CC</v>
          </cell>
          <cell r="C67">
            <v>18</v>
          </cell>
          <cell r="D67" t="str">
            <v/>
          </cell>
          <cell r="E67" t="str">
            <v>304R</v>
          </cell>
          <cell r="F67" t="str">
            <v>3040</v>
          </cell>
          <cell r="G67" t="str">
            <v>V15018</v>
          </cell>
          <cell r="H67" t="str">
            <v>UN</v>
          </cell>
          <cell r="I67">
            <v>57420</v>
          </cell>
          <cell r="J67">
            <v>3190</v>
          </cell>
        </row>
        <row r="68">
          <cell r="A68" t="str">
            <v>PTV1069951-22-NC</v>
          </cell>
          <cell r="B68" t="str">
            <v>VINO FLORESTA CAB SAUV 750 CC 2022</v>
          </cell>
          <cell r="C68">
            <v>33</v>
          </cell>
          <cell r="D68" t="str">
            <v/>
          </cell>
          <cell r="E68" t="str">
            <v>304R</v>
          </cell>
          <cell r="F68" t="str">
            <v>3040</v>
          </cell>
          <cell r="G68" t="str">
            <v>V15018</v>
          </cell>
          <cell r="H68" t="str">
            <v>UN</v>
          </cell>
          <cell r="I68">
            <v>110154</v>
          </cell>
          <cell r="J68">
            <v>3338</v>
          </cell>
        </row>
        <row r="69">
          <cell r="A69" t="str">
            <v>PTV1070532</v>
          </cell>
          <cell r="B69" t="str">
            <v>VINO LATE HARVEST SANTA RITA 500cc</v>
          </cell>
          <cell r="C69">
            <v>20</v>
          </cell>
          <cell r="D69" t="str">
            <v/>
          </cell>
          <cell r="E69" t="str">
            <v>304R</v>
          </cell>
          <cell r="F69" t="str">
            <v>3040</v>
          </cell>
          <cell r="G69" t="str">
            <v>V15000</v>
          </cell>
          <cell r="H69" t="str">
            <v>UN</v>
          </cell>
          <cell r="I69">
            <v>23196</v>
          </cell>
          <cell r="J69">
            <v>1159.8</v>
          </cell>
        </row>
        <row r="70">
          <cell r="A70" t="str">
            <v>PTV1070542-23-NC</v>
          </cell>
          <cell r="B70" t="str">
            <v>VINO FLORESTA FIELD BLEND BLANCO2023 750</v>
          </cell>
          <cell r="C70">
            <v>18</v>
          </cell>
          <cell r="D70" t="str">
            <v/>
          </cell>
          <cell r="E70" t="str">
            <v>304R</v>
          </cell>
          <cell r="F70" t="str">
            <v>3040</v>
          </cell>
          <cell r="G70" t="str">
            <v>V15018</v>
          </cell>
          <cell r="H70" t="str">
            <v>UN</v>
          </cell>
          <cell r="I70">
            <v>46890</v>
          </cell>
          <cell r="J70">
            <v>2605</v>
          </cell>
        </row>
        <row r="71">
          <cell r="A71" t="str">
            <v>PTV1070542-24-NC</v>
          </cell>
          <cell r="B71" t="str">
            <v>VINO FLORESTA FIELD BLEND BLANCO2024 750</v>
          </cell>
          <cell r="C71">
            <v>6</v>
          </cell>
          <cell r="D71" t="str">
            <v/>
          </cell>
          <cell r="E71" t="str">
            <v>304R</v>
          </cell>
          <cell r="F71" t="str">
            <v>3040</v>
          </cell>
          <cell r="G71" t="str">
            <v>V15018</v>
          </cell>
          <cell r="H71" t="str">
            <v>UN</v>
          </cell>
          <cell r="I71">
            <v>15984</v>
          </cell>
          <cell r="J71">
            <v>2664</v>
          </cell>
        </row>
        <row r="72">
          <cell r="A72" t="str">
            <v>PTV1070543-24-NC</v>
          </cell>
          <cell r="B72" t="str">
            <v>VINO FLORESTA CARMENERE 2024 750cc</v>
          </cell>
          <cell r="C72">
            <v>58</v>
          </cell>
          <cell r="D72" t="str">
            <v/>
          </cell>
          <cell r="E72" t="str">
            <v>304R</v>
          </cell>
          <cell r="F72" t="str">
            <v>3040</v>
          </cell>
          <cell r="G72" t="str">
            <v>V15018</v>
          </cell>
          <cell r="H72" t="str">
            <v>UN</v>
          </cell>
          <cell r="I72">
            <v>315404</v>
          </cell>
          <cell r="J72">
            <v>5438</v>
          </cell>
        </row>
        <row r="73">
          <cell r="A73" t="str">
            <v>PTV1070544-23-NC</v>
          </cell>
          <cell r="B73" t="str">
            <v>VINO FLORESTA CHARDONNAY 2023 750cc x 6</v>
          </cell>
          <cell r="C73">
            <v>46</v>
          </cell>
          <cell r="D73" t="str">
            <v/>
          </cell>
          <cell r="E73" t="str">
            <v>304R</v>
          </cell>
          <cell r="F73" t="str">
            <v>3040</v>
          </cell>
          <cell r="G73" t="str">
            <v>V15018</v>
          </cell>
          <cell r="H73" t="str">
            <v>UN</v>
          </cell>
          <cell r="I73">
            <v>114678</v>
          </cell>
          <cell r="J73">
            <v>2493</v>
          </cell>
        </row>
        <row r="74">
          <cell r="A74" t="str">
            <v>PTV1235981</v>
          </cell>
          <cell r="B74" t="str">
            <v>120 TETRA TINTO  2000 CC</v>
          </cell>
          <cell r="C74">
            <v>24</v>
          </cell>
          <cell r="D74" t="str">
            <v/>
          </cell>
          <cell r="E74" t="str">
            <v>304R</v>
          </cell>
          <cell r="F74" t="str">
            <v>3040</v>
          </cell>
          <cell r="G74" t="str">
            <v>V15000</v>
          </cell>
          <cell r="H74" t="str">
            <v>UN</v>
          </cell>
          <cell r="I74">
            <v>38785</v>
          </cell>
          <cell r="J74">
            <v>1616.0416666666667</v>
          </cell>
        </row>
        <row r="75">
          <cell r="A75" t="str">
            <v>PTV1240812</v>
          </cell>
          <cell r="B75" t="str">
            <v>120 TETRA GEMNA BCO. 1000 CC</v>
          </cell>
          <cell r="C75">
            <v>37</v>
          </cell>
          <cell r="D75" t="str">
            <v/>
          </cell>
          <cell r="E75" t="str">
            <v>304R</v>
          </cell>
          <cell r="F75" t="str">
            <v>3040</v>
          </cell>
          <cell r="G75" t="str">
            <v>V15000</v>
          </cell>
          <cell r="H75" t="str">
            <v>UN</v>
          </cell>
          <cell r="I75">
            <v>32026</v>
          </cell>
          <cell r="J75">
            <v>865.56756756756761</v>
          </cell>
        </row>
        <row r="76">
          <cell r="A76" t="str">
            <v>PTV1610524</v>
          </cell>
          <cell r="B76" t="str">
            <v>VINO ESPUMOSO CARMEN EXTRABRUT FK</v>
          </cell>
          <cell r="C76">
            <v>7</v>
          </cell>
          <cell r="D76" t="str">
            <v/>
          </cell>
          <cell r="E76" t="str">
            <v>304R</v>
          </cell>
          <cell r="F76" t="str">
            <v>3040</v>
          </cell>
          <cell r="G76" t="str">
            <v>V15014</v>
          </cell>
          <cell r="H76" t="str">
            <v>UN</v>
          </cell>
          <cell r="I76">
            <v>14784</v>
          </cell>
          <cell r="J76">
            <v>2112</v>
          </cell>
        </row>
        <row r="77">
          <cell r="A77" t="str">
            <v>PTV1610525</v>
          </cell>
          <cell r="B77" t="str">
            <v>VINO ESPUMOSO CARMEN BRUT FK</v>
          </cell>
          <cell r="C77">
            <v>20</v>
          </cell>
          <cell r="D77" t="str">
            <v/>
          </cell>
          <cell r="E77" t="str">
            <v>304R</v>
          </cell>
          <cell r="F77" t="str">
            <v>3040</v>
          </cell>
          <cell r="G77" t="str">
            <v>V15014</v>
          </cell>
          <cell r="H77" t="str">
            <v>UN</v>
          </cell>
          <cell r="I77">
            <v>38301</v>
          </cell>
          <cell r="J77">
            <v>1915.05</v>
          </cell>
        </row>
        <row r="78">
          <cell r="A78" t="str">
            <v>PTV1610534</v>
          </cell>
          <cell r="B78" t="str">
            <v>APEROL</v>
          </cell>
          <cell r="C78">
            <v>2</v>
          </cell>
          <cell r="D78" t="str">
            <v/>
          </cell>
          <cell r="E78" t="str">
            <v>304R</v>
          </cell>
          <cell r="F78" t="str">
            <v>3040</v>
          </cell>
          <cell r="G78" t="str">
            <v>V15006</v>
          </cell>
          <cell r="H78" t="str">
            <v>UN</v>
          </cell>
          <cell r="I78">
            <v>8916</v>
          </cell>
          <cell r="J78">
            <v>4458</v>
          </cell>
        </row>
        <row r="79">
          <cell r="A79" t="str">
            <v>PTV2000008</v>
          </cell>
          <cell r="B79" t="str">
            <v>Pisco Alto del Carmen Trasparente 750cc</v>
          </cell>
          <cell r="C79">
            <v>9</v>
          </cell>
          <cell r="D79" t="str">
            <v/>
          </cell>
          <cell r="E79" t="str">
            <v>304R</v>
          </cell>
          <cell r="F79" t="str">
            <v>3040</v>
          </cell>
          <cell r="G79" t="str">
            <v>V15006</v>
          </cell>
          <cell r="H79" t="str">
            <v>UN</v>
          </cell>
          <cell r="I79">
            <v>36765</v>
          </cell>
          <cell r="J79">
            <v>4085</v>
          </cell>
        </row>
        <row r="80">
          <cell r="A80" t="str">
            <v>PTV2000013</v>
          </cell>
          <cell r="B80" t="str">
            <v>Whisky Johnnie Walker Red Label 750cc</v>
          </cell>
          <cell r="C80">
            <v>3</v>
          </cell>
          <cell r="D80" t="str">
            <v/>
          </cell>
          <cell r="E80" t="str">
            <v>304R</v>
          </cell>
          <cell r="F80" t="str">
            <v>3040</v>
          </cell>
          <cell r="G80" t="str">
            <v>V15006</v>
          </cell>
          <cell r="H80" t="str">
            <v>UN</v>
          </cell>
          <cell r="I80">
            <v>19374</v>
          </cell>
          <cell r="J80">
            <v>6458</v>
          </cell>
        </row>
        <row r="81">
          <cell r="A81" t="str">
            <v>PTV2000022</v>
          </cell>
          <cell r="B81" t="str">
            <v>Bebida Coca-Cola Sin Azucar Lata 350ccx6</v>
          </cell>
          <cell r="C81">
            <v>184</v>
          </cell>
          <cell r="D81" t="str">
            <v/>
          </cell>
          <cell r="E81" t="str">
            <v>304R</v>
          </cell>
          <cell r="F81" t="str">
            <v>3040</v>
          </cell>
          <cell r="G81" t="str">
            <v>V15013</v>
          </cell>
          <cell r="H81" t="str">
            <v>UN</v>
          </cell>
          <cell r="I81">
            <v>105432</v>
          </cell>
          <cell r="J81">
            <v>573</v>
          </cell>
        </row>
        <row r="82">
          <cell r="A82" t="str">
            <v>PTV2000026</v>
          </cell>
          <cell r="B82" t="str">
            <v>Bebida Coca Cola Normal 350cc x 6</v>
          </cell>
          <cell r="C82">
            <v>125</v>
          </cell>
          <cell r="D82" t="str">
            <v/>
          </cell>
          <cell r="E82" t="str">
            <v>304R</v>
          </cell>
          <cell r="F82" t="str">
            <v>3040</v>
          </cell>
          <cell r="G82" t="str">
            <v>V15012</v>
          </cell>
          <cell r="H82" t="str">
            <v>UN</v>
          </cell>
          <cell r="I82">
            <v>67500</v>
          </cell>
          <cell r="J82">
            <v>540</v>
          </cell>
        </row>
        <row r="83">
          <cell r="A83" t="str">
            <v/>
          </cell>
          <cell r="B83" t="str">
            <v/>
          </cell>
          <cell r="C83"/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>
            <v>10798262</v>
          </cell>
          <cell r="J83"/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rge Guerrero Vega" id="{59A514F7-43A3-4EEF-9587-D90E236C1CF8}" userId="S::jguerrero@santarita.cl::7569d1e3-bfba-46b7-8b0d-ec14a1244730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7-18T16:22:41.88" personId="{59A514F7-43A3-4EEF-9587-D90E236C1CF8}" id="{77A9439B-AA7E-41B4-850D-EDA8F3762AE0}">
    <text>COSTO TOTAL</text>
  </threadedComment>
  <threadedComment ref="BD8" dT="2026-08-16T14:15:50.55" personId="{59A514F7-43A3-4EEF-9587-D90E236C1CF8}" id="{0C4B8D7A-B2EE-4276-8604-8389A5ADC9C1}">
    <text>Devolucion bar</text>
  </threadedComment>
  <threadedComment ref="BD11" dT="2026-08-16T14:15:30.05" personId="{59A514F7-43A3-4EEF-9587-D90E236C1CF8}" id="{B39A97AE-E282-48EE-B316-EF14F16940F1}">
    <text>Devolucion bar</text>
  </threadedComment>
  <threadedComment ref="BI59" dT="2026-08-22T18:29:58.03" personId="{59A514F7-43A3-4EEF-9587-D90E236C1CF8}" id="{0F32DAE3-0EB9-47F5-9DFC-25B717A605CD}">
    <text xml:space="preserve">MERMA PRODUCTO CON FILTRACION </text>
  </threadedComment>
  <threadedComment ref="BR74" dT="2026-09-16T20:01:47.16" personId="{59A514F7-43A3-4EEF-9587-D90E236C1CF8}" id="{C4729070-0B1C-4F5E-A5F0-7A8285C6D9B4}">
    <text xml:space="preserve">Wine shop 16-09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2F649-F380-403D-A399-101CFB58D16A}">
  <dimension ref="A1:BU101"/>
  <sheetViews>
    <sheetView tabSelected="1" workbookViewId="0">
      <pane ySplit="1" topLeftCell="A56" activePane="bottomLeft" state="frozen"/>
      <selection pane="bottomLeft" activeCell="B60" sqref="B60"/>
    </sheetView>
  </sheetViews>
  <sheetFormatPr baseColWidth="10" defaultRowHeight="14.5" x14ac:dyDescent="0.35"/>
  <cols>
    <col min="2" max="3" width="10.90625" style="10"/>
    <col min="4" max="4" width="30.1796875" bestFit="1" customWidth="1"/>
    <col min="5" max="5" width="5.453125" bestFit="1" customWidth="1"/>
    <col min="6" max="6" width="42" bestFit="1" customWidth="1"/>
    <col min="7" max="7" width="4.08984375" hidden="1" customWidth="1"/>
    <col min="8" max="8" width="8.08984375" customWidth="1"/>
    <col min="9" max="9" width="17.36328125" style="1" customWidth="1"/>
    <col min="10" max="10" width="16.36328125" hidden="1" customWidth="1"/>
    <col min="11" max="41" width="10.90625" hidden="1" customWidth="1"/>
    <col min="42" max="42" width="16.26953125" hidden="1" customWidth="1"/>
    <col min="43" max="65" width="10.90625" hidden="1" customWidth="1"/>
    <col min="66" max="68" width="0" hidden="1" customWidth="1"/>
  </cols>
  <sheetData>
    <row r="1" spans="1:73" s="6" customFormat="1" x14ac:dyDescent="0.35">
      <c r="A1" s="6" t="s">
        <v>136</v>
      </c>
      <c r="B1" s="8" t="s">
        <v>139</v>
      </c>
      <c r="C1" s="8">
        <f>SUM(C2:C1048576)</f>
        <v>3979173.9474072745</v>
      </c>
      <c r="D1" s="6" t="s">
        <v>46</v>
      </c>
      <c r="E1" s="6" t="s">
        <v>125</v>
      </c>
      <c r="F1" s="6" t="s">
        <v>47</v>
      </c>
      <c r="G1" s="6" t="s">
        <v>61</v>
      </c>
      <c r="H1" s="5">
        <v>46206</v>
      </c>
      <c r="I1" s="5" t="s">
        <v>115</v>
      </c>
      <c r="J1" s="5">
        <v>46207</v>
      </c>
      <c r="K1" s="5">
        <v>46208</v>
      </c>
      <c r="L1" s="5">
        <v>46209</v>
      </c>
      <c r="M1" s="5">
        <v>46210</v>
      </c>
      <c r="N1" s="5">
        <v>46210</v>
      </c>
      <c r="O1" s="5">
        <v>46211</v>
      </c>
      <c r="P1" s="5">
        <v>46211</v>
      </c>
      <c r="Q1" s="5">
        <v>46212</v>
      </c>
      <c r="R1" s="5">
        <v>46213</v>
      </c>
      <c r="S1" s="5">
        <v>46214</v>
      </c>
      <c r="T1" s="5">
        <v>46215</v>
      </c>
      <c r="U1" s="5">
        <v>46216</v>
      </c>
      <c r="V1" s="5">
        <v>46217</v>
      </c>
      <c r="W1" s="5">
        <v>46217</v>
      </c>
      <c r="X1" s="5">
        <v>46218</v>
      </c>
      <c r="Y1" s="5">
        <v>46219</v>
      </c>
      <c r="Z1" s="5">
        <v>46220</v>
      </c>
      <c r="AA1" s="5">
        <v>46221</v>
      </c>
      <c r="AB1" s="5">
        <v>46221</v>
      </c>
      <c r="AC1" s="5">
        <v>46222</v>
      </c>
      <c r="AD1" s="5">
        <v>46224</v>
      </c>
      <c r="AE1" s="5">
        <v>46225</v>
      </c>
      <c r="AF1" s="5">
        <v>46226</v>
      </c>
      <c r="AG1" s="5">
        <v>46226</v>
      </c>
      <c r="AH1" s="5">
        <v>46227</v>
      </c>
      <c r="AI1" s="5">
        <v>46228</v>
      </c>
      <c r="AJ1" s="5">
        <v>46230</v>
      </c>
      <c r="AK1" s="5">
        <v>46231</v>
      </c>
      <c r="AL1" s="5">
        <v>46231</v>
      </c>
      <c r="AM1" s="5">
        <v>46232</v>
      </c>
      <c r="AN1" s="5">
        <v>46233</v>
      </c>
      <c r="AO1" s="5">
        <v>46233</v>
      </c>
      <c r="AP1" s="5">
        <v>46235</v>
      </c>
      <c r="AQ1" s="5">
        <v>46236</v>
      </c>
      <c r="AR1" s="5">
        <v>46238</v>
      </c>
      <c r="AS1" s="5">
        <v>46238</v>
      </c>
      <c r="AT1" s="5">
        <v>46239</v>
      </c>
      <c r="AU1" s="5">
        <v>46239</v>
      </c>
      <c r="AV1" s="5">
        <v>46240</v>
      </c>
      <c r="AW1" s="5">
        <v>46241</v>
      </c>
      <c r="AX1" s="5">
        <v>46245</v>
      </c>
      <c r="AY1" s="5">
        <v>46246</v>
      </c>
      <c r="AZ1" s="5">
        <v>46247</v>
      </c>
      <c r="BA1" s="5">
        <v>46247</v>
      </c>
      <c r="BB1" s="5">
        <v>46248</v>
      </c>
      <c r="BC1" s="5">
        <v>46249</v>
      </c>
      <c r="BD1" s="5">
        <v>46250</v>
      </c>
      <c r="BE1" s="5">
        <v>46252</v>
      </c>
      <c r="BF1" s="5">
        <v>46253</v>
      </c>
      <c r="BG1" s="5">
        <v>46254</v>
      </c>
      <c r="BH1" s="5">
        <v>46254</v>
      </c>
      <c r="BI1" s="5">
        <v>46255</v>
      </c>
      <c r="BJ1" s="5">
        <v>46256</v>
      </c>
      <c r="BK1" s="5">
        <v>46258</v>
      </c>
      <c r="BL1" s="5">
        <v>46259</v>
      </c>
      <c r="BM1" s="5">
        <v>46260</v>
      </c>
      <c r="BN1" s="5">
        <v>46261</v>
      </c>
      <c r="BO1" s="5">
        <v>46262</v>
      </c>
      <c r="BP1" s="5">
        <v>46270</v>
      </c>
      <c r="BQ1" s="5">
        <v>46272</v>
      </c>
      <c r="BR1" s="5">
        <v>46278</v>
      </c>
      <c r="BS1" s="5">
        <v>46282</v>
      </c>
      <c r="BT1" s="5">
        <v>46283</v>
      </c>
      <c r="BU1" s="5">
        <v>46287</v>
      </c>
    </row>
    <row r="2" spans="1:73" s="2" customFormat="1" x14ac:dyDescent="0.35">
      <c r="A2" s="2" t="s">
        <v>138</v>
      </c>
      <c r="B2" s="9">
        <f>+VLOOKUP(D2,[1]Sheet1!$A:$J,10,)</f>
        <v>4085</v>
      </c>
      <c r="C2" s="9">
        <f t="shared" ref="C2:C33" si="0">+B2*I2</f>
        <v>0</v>
      </c>
      <c r="D2" s="2" t="s">
        <v>39</v>
      </c>
      <c r="E2" s="2">
        <v>750</v>
      </c>
      <c r="F2" s="2" t="s">
        <v>100</v>
      </c>
      <c r="G2" s="2">
        <v>3</v>
      </c>
      <c r="H2" s="2" t="s">
        <v>41</v>
      </c>
      <c r="I2" s="3">
        <f t="shared" ref="I2:I33" si="1">SUM(J2:XFD2,G2)</f>
        <v>0</v>
      </c>
      <c r="K2" s="2">
        <v>-2</v>
      </c>
      <c r="T2" s="2">
        <v>-1</v>
      </c>
      <c r="V2" s="2">
        <v>3</v>
      </c>
      <c r="AA2" s="2">
        <v>-1</v>
      </c>
      <c r="AC2" s="2">
        <v>-1</v>
      </c>
      <c r="AH2" s="2">
        <v>-1</v>
      </c>
    </row>
    <row r="3" spans="1:73" s="2" customFormat="1" x14ac:dyDescent="0.35">
      <c r="A3" s="2" t="s">
        <v>138</v>
      </c>
      <c r="B3" s="9">
        <f>+VLOOKUP(D3,[1]Sheet1!$A:$J,10,)</f>
        <v>6675</v>
      </c>
      <c r="C3" s="9">
        <f t="shared" si="0"/>
        <v>0</v>
      </c>
      <c r="D3" s="2" t="s">
        <v>22</v>
      </c>
      <c r="E3" s="2">
        <v>750</v>
      </c>
      <c r="F3" s="2" t="s">
        <v>84</v>
      </c>
      <c r="G3" s="2">
        <v>12</v>
      </c>
      <c r="H3" s="2" t="s">
        <v>41</v>
      </c>
      <c r="I3" s="3">
        <f t="shared" si="1"/>
        <v>0</v>
      </c>
      <c r="K3" s="2">
        <v>-6</v>
      </c>
      <c r="M3" s="2">
        <v>6</v>
      </c>
      <c r="O3" s="2">
        <v>-6</v>
      </c>
      <c r="Q3" s="2">
        <v>6</v>
      </c>
      <c r="S3" s="2">
        <v>-6</v>
      </c>
      <c r="V3" s="2">
        <v>12</v>
      </c>
      <c r="W3" s="2">
        <v>-6</v>
      </c>
      <c r="X3" s="2">
        <v>6</v>
      </c>
      <c r="AF3" s="2">
        <v>6</v>
      </c>
      <c r="AH3" s="2">
        <v>-6</v>
      </c>
      <c r="AI3" s="2">
        <v>-6</v>
      </c>
      <c r="AN3" s="2">
        <v>6</v>
      </c>
      <c r="AP3" s="2">
        <v>-6</v>
      </c>
      <c r="AQ3" s="2">
        <v>-12</v>
      </c>
      <c r="AR3" s="2">
        <v>1</v>
      </c>
      <c r="AT3" s="2">
        <v>-1</v>
      </c>
      <c r="BK3" s="2">
        <v>6</v>
      </c>
      <c r="BM3" s="2">
        <v>-6</v>
      </c>
    </row>
    <row r="4" spans="1:73" s="2" customFormat="1" x14ac:dyDescent="0.35">
      <c r="A4" s="2" t="s">
        <v>137</v>
      </c>
      <c r="B4" s="9">
        <v>0</v>
      </c>
      <c r="C4" s="9">
        <f t="shared" si="0"/>
        <v>0</v>
      </c>
      <c r="D4" s="2" t="s">
        <v>59</v>
      </c>
      <c r="E4" s="2">
        <v>1600</v>
      </c>
      <c r="F4" s="2" t="s">
        <v>60</v>
      </c>
      <c r="G4" s="2">
        <v>28</v>
      </c>
      <c r="H4" s="2" t="s">
        <v>41</v>
      </c>
      <c r="I4" s="3">
        <f t="shared" si="1"/>
        <v>0</v>
      </c>
      <c r="J4" s="2">
        <v>-2</v>
      </c>
      <c r="R4" s="2">
        <v>-14</v>
      </c>
      <c r="AA4" s="2">
        <v>-6</v>
      </c>
      <c r="AM4" s="2">
        <v>-6</v>
      </c>
    </row>
    <row r="5" spans="1:73" s="2" customFormat="1" x14ac:dyDescent="0.35">
      <c r="A5" s="2" t="s">
        <v>138</v>
      </c>
      <c r="B5" s="9">
        <f>+VLOOKUP(D5,[1]Sheet1!$A:$J,10,)</f>
        <v>2605</v>
      </c>
      <c r="C5" s="9">
        <f t="shared" si="0"/>
        <v>0</v>
      </c>
      <c r="D5" s="2" t="s">
        <v>30</v>
      </c>
      <c r="E5" s="2">
        <v>750</v>
      </c>
      <c r="F5" s="2" t="s">
        <v>92</v>
      </c>
      <c r="G5" s="2">
        <v>18</v>
      </c>
      <c r="H5" s="2" t="s">
        <v>41</v>
      </c>
      <c r="I5" s="3">
        <f t="shared" si="1"/>
        <v>0</v>
      </c>
      <c r="Z5" s="2">
        <v>-6</v>
      </c>
      <c r="BM5" s="2">
        <v>-6</v>
      </c>
      <c r="BN5" s="2">
        <v>-6</v>
      </c>
    </row>
    <row r="6" spans="1:73" s="2" customFormat="1" x14ac:dyDescent="0.35">
      <c r="A6" s="2" t="s">
        <v>137</v>
      </c>
      <c r="B6" s="9">
        <v>0</v>
      </c>
      <c r="C6" s="9">
        <f t="shared" si="0"/>
        <v>0</v>
      </c>
      <c r="D6" s="2" t="s">
        <v>127</v>
      </c>
      <c r="E6" s="2">
        <v>2000</v>
      </c>
      <c r="F6" s="2" t="s">
        <v>126</v>
      </c>
      <c r="G6" s="2">
        <v>6</v>
      </c>
      <c r="H6" s="2" t="s">
        <v>41</v>
      </c>
      <c r="I6" s="3">
        <f t="shared" si="1"/>
        <v>0</v>
      </c>
      <c r="AC6" s="2">
        <v>-6</v>
      </c>
    </row>
    <row r="7" spans="1:73" s="2" customFormat="1" x14ac:dyDescent="0.35">
      <c r="A7" s="2" t="s">
        <v>138</v>
      </c>
      <c r="B7" s="9">
        <v>8395</v>
      </c>
      <c r="C7" s="9">
        <f t="shared" si="0"/>
        <v>16790</v>
      </c>
      <c r="D7" s="2" t="s">
        <v>163</v>
      </c>
      <c r="E7" s="2">
        <v>2000</v>
      </c>
      <c r="F7" s="2" t="s">
        <v>164</v>
      </c>
      <c r="H7" s="2" t="s">
        <v>41</v>
      </c>
      <c r="I7" s="3">
        <f t="shared" si="1"/>
        <v>2</v>
      </c>
      <c r="AR7" s="2">
        <v>2</v>
      </c>
      <c r="BF7" s="2">
        <v>-1</v>
      </c>
      <c r="BR7" s="2">
        <v>1</v>
      </c>
    </row>
    <row r="8" spans="1:73" s="2" customFormat="1" x14ac:dyDescent="0.35">
      <c r="A8" s="2" t="s">
        <v>138</v>
      </c>
      <c r="B8" s="9">
        <f>+VLOOKUP(D8,[1]Sheet1!$A:$J,10,)</f>
        <v>6307</v>
      </c>
      <c r="C8" s="9">
        <f t="shared" si="0"/>
        <v>25228</v>
      </c>
      <c r="D8" s="2" t="s">
        <v>50</v>
      </c>
      <c r="E8" s="2">
        <v>700</v>
      </c>
      <c r="F8" s="2" t="s">
        <v>101</v>
      </c>
      <c r="G8" s="2">
        <v>3</v>
      </c>
      <c r="H8" s="2" t="s">
        <v>41</v>
      </c>
      <c r="I8" s="3">
        <f t="shared" si="1"/>
        <v>4</v>
      </c>
      <c r="AI8" s="2">
        <v>-3</v>
      </c>
      <c r="AN8" s="2">
        <v>3</v>
      </c>
      <c r="AY8" s="2">
        <v>-3</v>
      </c>
      <c r="BD8" s="2">
        <v>2</v>
      </c>
      <c r="BE8" s="2">
        <v>1</v>
      </c>
      <c r="BI8" s="2">
        <v>-2</v>
      </c>
      <c r="BM8" s="2">
        <v>-1</v>
      </c>
      <c r="BN8" s="2">
        <v>2</v>
      </c>
      <c r="BO8" s="2">
        <v>3</v>
      </c>
      <c r="BT8" s="2">
        <v>-1</v>
      </c>
    </row>
    <row r="9" spans="1:73" s="2" customFormat="1" x14ac:dyDescent="0.35">
      <c r="A9" s="2" t="s">
        <v>138</v>
      </c>
      <c r="B9" s="9">
        <f>+VLOOKUP(D9,[1]Sheet1!$A:$J,10,)</f>
        <v>38666</v>
      </c>
      <c r="C9" s="9">
        <f t="shared" si="0"/>
        <v>115998</v>
      </c>
      <c r="D9" s="2" t="s">
        <v>113</v>
      </c>
      <c r="E9" s="2">
        <v>5000</v>
      </c>
      <c r="F9" s="2" t="s">
        <v>114</v>
      </c>
      <c r="G9" s="2">
        <v>2</v>
      </c>
      <c r="H9" s="2" t="s">
        <v>41</v>
      </c>
      <c r="I9" s="3">
        <f t="shared" si="1"/>
        <v>3</v>
      </c>
      <c r="J9" s="2">
        <v>-1</v>
      </c>
      <c r="Q9" s="2">
        <v>2</v>
      </c>
      <c r="X9" s="2">
        <v>-1</v>
      </c>
      <c r="Z9" s="2">
        <v>-1</v>
      </c>
      <c r="AD9" s="2">
        <v>2</v>
      </c>
      <c r="AJ9" s="2">
        <v>-1</v>
      </c>
      <c r="AN9" s="2">
        <v>1</v>
      </c>
      <c r="AR9" s="2">
        <v>-1</v>
      </c>
      <c r="AW9" s="2">
        <v>-1</v>
      </c>
      <c r="AX9" s="2">
        <v>2</v>
      </c>
      <c r="BK9" s="2">
        <v>-1</v>
      </c>
      <c r="BN9" s="2">
        <v>1</v>
      </c>
      <c r="BO9" s="2">
        <v>-2</v>
      </c>
      <c r="BQ9" s="2">
        <v>1</v>
      </c>
      <c r="BR9" s="2">
        <v>1</v>
      </c>
    </row>
    <row r="10" spans="1:73" s="2" customFormat="1" x14ac:dyDescent="0.35">
      <c r="A10" s="2" t="s">
        <v>138</v>
      </c>
      <c r="B10" s="9">
        <f>+VLOOKUP(D10,[1]Sheet1!$A:$J,10,)</f>
        <v>4228.2739726027394</v>
      </c>
      <c r="C10" s="9">
        <f t="shared" si="0"/>
        <v>177587.50684931505</v>
      </c>
      <c r="D10" s="2" t="s">
        <v>5</v>
      </c>
      <c r="E10" s="2">
        <v>750</v>
      </c>
      <c r="F10" s="2" t="s">
        <v>67</v>
      </c>
      <c r="G10" s="2">
        <v>42</v>
      </c>
      <c r="H10" s="2" t="s">
        <v>41</v>
      </c>
      <c r="I10" s="3">
        <f t="shared" si="1"/>
        <v>42</v>
      </c>
      <c r="J10" s="2">
        <v>-6</v>
      </c>
      <c r="M10" s="2">
        <v>12</v>
      </c>
      <c r="N10" s="2">
        <v>-6</v>
      </c>
      <c r="S10" s="2">
        <v>-12</v>
      </c>
      <c r="T10" s="2">
        <v>-6</v>
      </c>
      <c r="V10" s="2">
        <v>12</v>
      </c>
      <c r="AD10" s="2">
        <v>18</v>
      </c>
      <c r="AE10" s="2">
        <v>-12</v>
      </c>
      <c r="AF10" s="2">
        <v>-6</v>
      </c>
      <c r="AI10" s="2">
        <v>-6</v>
      </c>
      <c r="AM10" s="2">
        <v>-6</v>
      </c>
      <c r="AP10" s="2">
        <v>-6</v>
      </c>
      <c r="AQ10" s="2">
        <v>-6</v>
      </c>
      <c r="AT10" s="2">
        <v>-12</v>
      </c>
      <c r="AV10" s="2">
        <v>24</v>
      </c>
      <c r="AW10" s="2">
        <v>-12</v>
      </c>
      <c r="AX10" s="2">
        <v>30</v>
      </c>
      <c r="AZ10" s="2">
        <v>-12</v>
      </c>
      <c r="BA10" s="2">
        <v>12</v>
      </c>
      <c r="BD10" s="2">
        <v>-6</v>
      </c>
      <c r="BE10" s="2">
        <v>12</v>
      </c>
      <c r="BF10" s="2">
        <v>-6</v>
      </c>
      <c r="BI10" s="2">
        <v>-12</v>
      </c>
      <c r="BK10" s="2">
        <v>-6</v>
      </c>
      <c r="BL10" s="2">
        <v>18</v>
      </c>
      <c r="BM10" s="2">
        <v>-12</v>
      </c>
      <c r="BN10" s="2">
        <v>6</v>
      </c>
      <c r="BO10" s="2">
        <v>-18</v>
      </c>
      <c r="BP10" s="2">
        <v>18</v>
      </c>
      <c r="BQ10" s="2">
        <v>-36</v>
      </c>
      <c r="BS10" s="2">
        <v>42</v>
      </c>
    </row>
    <row r="11" spans="1:73" s="2" customFormat="1" x14ac:dyDescent="0.35">
      <c r="A11" s="2" t="s">
        <v>138</v>
      </c>
      <c r="B11" s="9">
        <f>+VLOOKUP(D11,[1]Sheet1!$A:$J,10,)</f>
        <v>4458</v>
      </c>
      <c r="C11" s="9">
        <f t="shared" si="0"/>
        <v>8916</v>
      </c>
      <c r="D11" s="2" t="s">
        <v>49</v>
      </c>
      <c r="E11" s="2">
        <v>750</v>
      </c>
      <c r="F11" s="2" t="s">
        <v>40</v>
      </c>
      <c r="G11" s="2">
        <v>2</v>
      </c>
      <c r="H11" s="2" t="s">
        <v>41</v>
      </c>
      <c r="I11" s="3">
        <f t="shared" si="1"/>
        <v>2</v>
      </c>
      <c r="AI11" s="2">
        <v>-2</v>
      </c>
      <c r="AN11" s="2">
        <v>3</v>
      </c>
      <c r="AY11" s="2">
        <v>-3</v>
      </c>
      <c r="BD11" s="2">
        <v>3</v>
      </c>
      <c r="BI11" s="2">
        <v>-2</v>
      </c>
      <c r="BK11" s="2">
        <v>-1</v>
      </c>
      <c r="BN11" s="2">
        <v>2</v>
      </c>
    </row>
    <row r="12" spans="1:73" s="2" customFormat="1" x14ac:dyDescent="0.35">
      <c r="A12" s="2" t="s">
        <v>138</v>
      </c>
      <c r="B12" s="9">
        <f>+VLOOKUP(D12,[1]Sheet1!$A:$J,10,)</f>
        <v>6458</v>
      </c>
      <c r="C12" s="9">
        <f t="shared" si="0"/>
        <v>12916</v>
      </c>
      <c r="D12" s="2" t="s">
        <v>51</v>
      </c>
      <c r="E12" s="2">
        <v>750</v>
      </c>
      <c r="F12" s="2" t="s">
        <v>102</v>
      </c>
      <c r="G12" s="2">
        <v>2</v>
      </c>
      <c r="H12" s="2" t="s">
        <v>41</v>
      </c>
      <c r="I12" s="3">
        <f t="shared" si="1"/>
        <v>2</v>
      </c>
    </row>
    <row r="13" spans="1:73" s="2" customFormat="1" x14ac:dyDescent="0.35">
      <c r="A13" s="2" t="s">
        <v>138</v>
      </c>
      <c r="B13" s="9">
        <f>+VLOOKUP(D13,[1]Sheet1!$A:$J,10,)</f>
        <v>21327.25</v>
      </c>
      <c r="C13" s="9">
        <f t="shared" si="0"/>
        <v>106636.25</v>
      </c>
      <c r="D13" s="2" t="s">
        <v>16</v>
      </c>
      <c r="E13" s="2">
        <v>750</v>
      </c>
      <c r="F13" s="2" t="s">
        <v>79</v>
      </c>
      <c r="G13" s="2">
        <v>3</v>
      </c>
      <c r="H13" s="2" t="s">
        <v>41</v>
      </c>
      <c r="I13" s="3">
        <f t="shared" si="1"/>
        <v>5</v>
      </c>
      <c r="S13" s="2">
        <v>-1</v>
      </c>
      <c r="V13" s="2">
        <v>6</v>
      </c>
      <c r="AI13" s="2">
        <v>-1</v>
      </c>
      <c r="AJ13" s="2">
        <v>-1</v>
      </c>
      <c r="AQ13" s="2">
        <v>-1</v>
      </c>
      <c r="AW13" s="2">
        <v>-1</v>
      </c>
      <c r="BG13" s="2">
        <v>-1</v>
      </c>
      <c r="BN13" s="2">
        <v>-1</v>
      </c>
      <c r="BR13" s="2">
        <v>5</v>
      </c>
      <c r="BT13" s="2">
        <v>-2</v>
      </c>
    </row>
    <row r="14" spans="1:73" s="2" customFormat="1" x14ac:dyDescent="0.35">
      <c r="A14" s="2" t="s">
        <v>138</v>
      </c>
      <c r="B14" s="9">
        <f>+VLOOKUP(D14,[1]Sheet1!$A:$J,10,)</f>
        <v>2647</v>
      </c>
      <c r="C14" s="9">
        <f t="shared" si="0"/>
        <v>5294</v>
      </c>
      <c r="D14" s="2" t="s">
        <v>33</v>
      </c>
      <c r="E14" s="2">
        <v>750</v>
      </c>
      <c r="F14" s="2" t="s">
        <v>95</v>
      </c>
      <c r="G14" s="2">
        <v>4</v>
      </c>
      <c r="H14" s="2" t="s">
        <v>41</v>
      </c>
      <c r="I14" s="3">
        <f t="shared" si="1"/>
        <v>2</v>
      </c>
      <c r="BN14" s="2">
        <v>-1</v>
      </c>
      <c r="BT14" s="2">
        <v>-1</v>
      </c>
    </row>
    <row r="15" spans="1:73" s="2" customFormat="1" x14ac:dyDescent="0.35">
      <c r="A15" s="2" t="s">
        <v>138</v>
      </c>
      <c r="B15" s="9">
        <f>+VLOOKUP(D15,[1]Sheet1!$A:$J,10,)</f>
        <v>7465</v>
      </c>
      <c r="C15" s="9">
        <f t="shared" si="0"/>
        <v>29860</v>
      </c>
      <c r="D15" s="2" t="s">
        <v>52</v>
      </c>
      <c r="E15" s="2">
        <v>750</v>
      </c>
      <c r="F15" s="2" t="s">
        <v>103</v>
      </c>
      <c r="G15" s="2">
        <v>5</v>
      </c>
      <c r="H15" s="2" t="s">
        <v>41</v>
      </c>
      <c r="I15" s="3">
        <f t="shared" si="1"/>
        <v>4</v>
      </c>
      <c r="AR15" s="2">
        <v>-1</v>
      </c>
    </row>
    <row r="16" spans="1:73" s="2" customFormat="1" x14ac:dyDescent="0.35">
      <c r="A16" s="2" t="s">
        <v>138</v>
      </c>
      <c r="B16" s="9">
        <f>+VLOOKUP(D16,[1]Sheet1!$A:$J,10,)</f>
        <v>11467.476190476191</v>
      </c>
      <c r="C16" s="9">
        <f t="shared" si="0"/>
        <v>22934.952380952382</v>
      </c>
      <c r="D16" s="2" t="s">
        <v>12</v>
      </c>
      <c r="E16" s="2">
        <v>750</v>
      </c>
      <c r="F16" s="2" t="s">
        <v>75</v>
      </c>
      <c r="G16" s="2">
        <v>4</v>
      </c>
      <c r="H16" s="2" t="s">
        <v>41</v>
      </c>
      <c r="I16" s="7">
        <f t="shared" si="1"/>
        <v>2</v>
      </c>
      <c r="M16" s="2">
        <v>-1</v>
      </c>
      <c r="S16" s="2">
        <v>-1</v>
      </c>
      <c r="U16" s="2">
        <v>-2</v>
      </c>
      <c r="V16" s="2">
        <v>6</v>
      </c>
      <c r="W16" s="2">
        <v>-3</v>
      </c>
      <c r="X16" s="2">
        <v>6</v>
      </c>
      <c r="AQ16" s="2">
        <v>-2</v>
      </c>
      <c r="AZ16" s="2">
        <v>-1</v>
      </c>
      <c r="BC16" s="2">
        <v>-1</v>
      </c>
      <c r="BM16" s="2">
        <v>-1</v>
      </c>
      <c r="BN16" s="2">
        <v>2</v>
      </c>
      <c r="BQ16" s="2">
        <v>-2</v>
      </c>
      <c r="BR16" s="2">
        <v>1</v>
      </c>
      <c r="BT16" s="2">
        <v>-3</v>
      </c>
    </row>
    <row r="17" spans="1:72" s="2" customFormat="1" x14ac:dyDescent="0.35">
      <c r="A17" s="2" t="s">
        <v>138</v>
      </c>
      <c r="B17" s="9">
        <f>+VLOOKUP(D17,[1]Sheet1!$A:$J,10,)</f>
        <v>2098.1999999999998</v>
      </c>
      <c r="C17" s="9">
        <f t="shared" si="0"/>
        <v>10491</v>
      </c>
      <c r="D17" s="2" t="s">
        <v>35</v>
      </c>
      <c r="E17" s="2">
        <v>750</v>
      </c>
      <c r="F17" s="2" t="s">
        <v>97</v>
      </c>
      <c r="G17" s="2">
        <v>5</v>
      </c>
      <c r="H17" s="2" t="s">
        <v>41</v>
      </c>
      <c r="I17" s="3">
        <f t="shared" si="1"/>
        <v>5</v>
      </c>
    </row>
    <row r="18" spans="1:72" s="2" customFormat="1" x14ac:dyDescent="0.35">
      <c r="A18" s="2" t="s">
        <v>138</v>
      </c>
      <c r="B18" s="9">
        <f>+VLOOKUP(D18,[1]Sheet1!$A:$J,10,)</f>
        <v>2406.25</v>
      </c>
      <c r="C18" s="9">
        <f t="shared" si="0"/>
        <v>12031.25</v>
      </c>
      <c r="D18" s="2" t="s">
        <v>34</v>
      </c>
      <c r="E18" s="2">
        <v>750</v>
      </c>
      <c r="F18" s="2" t="s">
        <v>96</v>
      </c>
      <c r="G18" s="2">
        <v>5</v>
      </c>
      <c r="H18" s="2" t="s">
        <v>41</v>
      </c>
      <c r="I18" s="3">
        <f t="shared" si="1"/>
        <v>5</v>
      </c>
    </row>
    <row r="19" spans="1:72" s="2" customFormat="1" x14ac:dyDescent="0.35">
      <c r="A19" s="2" t="s">
        <v>138</v>
      </c>
      <c r="B19" s="9">
        <f>+VLOOKUP(D19,[1]Sheet1!$A:$J,10,)</f>
        <v>3068</v>
      </c>
      <c r="C19" s="9">
        <f t="shared" si="0"/>
        <v>0</v>
      </c>
      <c r="D19" s="2" t="s">
        <v>19</v>
      </c>
      <c r="E19" s="2">
        <v>750</v>
      </c>
      <c r="F19" s="2" t="s">
        <v>81</v>
      </c>
      <c r="G19" s="2">
        <v>6</v>
      </c>
      <c r="H19" s="2" t="s">
        <v>41</v>
      </c>
      <c r="I19" s="3">
        <f t="shared" si="1"/>
        <v>0</v>
      </c>
      <c r="O19" s="2">
        <v>-6</v>
      </c>
      <c r="V19" s="2">
        <v>6</v>
      </c>
      <c r="BC19" s="2">
        <v>-6</v>
      </c>
      <c r="BE19" s="2">
        <v>6</v>
      </c>
      <c r="BT19" s="2">
        <v>-6</v>
      </c>
    </row>
    <row r="20" spans="1:72" s="2" customFormat="1" x14ac:dyDescent="0.35">
      <c r="A20" s="2" t="s">
        <v>138</v>
      </c>
      <c r="B20" s="9">
        <f>+VLOOKUP(D20,[1]Sheet1!$A:$J,10,)</f>
        <v>2635.5</v>
      </c>
      <c r="C20" s="9">
        <f t="shared" si="0"/>
        <v>15813</v>
      </c>
      <c r="D20" s="2" t="s">
        <v>48</v>
      </c>
      <c r="E20" s="2">
        <v>750</v>
      </c>
      <c r="F20" s="2" t="s">
        <v>74</v>
      </c>
      <c r="G20" s="2">
        <v>6</v>
      </c>
      <c r="H20" s="2" t="s">
        <v>41</v>
      </c>
      <c r="I20" s="3">
        <f t="shared" si="1"/>
        <v>6</v>
      </c>
    </row>
    <row r="21" spans="1:72" s="2" customFormat="1" x14ac:dyDescent="0.35">
      <c r="A21" s="2" t="s">
        <v>138</v>
      </c>
      <c r="B21" s="9">
        <f>+VLOOKUP(D21,[1]Sheet1!$A:$J,10,)</f>
        <v>2960</v>
      </c>
      <c r="C21" s="9">
        <f t="shared" si="0"/>
        <v>0</v>
      </c>
      <c r="D21" s="2" t="s">
        <v>18</v>
      </c>
      <c r="E21" s="2">
        <v>750</v>
      </c>
      <c r="F21" s="2" t="s">
        <v>80</v>
      </c>
      <c r="G21" s="2">
        <v>6</v>
      </c>
      <c r="H21" s="2" t="s">
        <v>41</v>
      </c>
      <c r="I21" s="3">
        <f t="shared" si="1"/>
        <v>0</v>
      </c>
      <c r="BN21" s="2">
        <v>-6</v>
      </c>
      <c r="BQ21" s="2">
        <v>6</v>
      </c>
      <c r="BT21" s="2">
        <v>-6</v>
      </c>
    </row>
    <row r="22" spans="1:72" s="2" customFormat="1" x14ac:dyDescent="0.35">
      <c r="A22" s="2" t="s">
        <v>138</v>
      </c>
      <c r="B22" s="9">
        <f>+VLOOKUP(D22,[1]Sheet1!$A:$J,10,)</f>
        <v>2604.5</v>
      </c>
      <c r="C22" s="9">
        <f t="shared" si="0"/>
        <v>15627</v>
      </c>
      <c r="D22" s="2" t="s">
        <v>36</v>
      </c>
      <c r="E22" s="2">
        <v>750</v>
      </c>
      <c r="F22" s="2" t="s">
        <v>98</v>
      </c>
      <c r="G22" s="2">
        <v>6</v>
      </c>
      <c r="H22" s="2" t="s">
        <v>41</v>
      </c>
      <c r="I22" s="3">
        <f t="shared" si="1"/>
        <v>6</v>
      </c>
    </row>
    <row r="23" spans="1:72" s="2" customFormat="1" x14ac:dyDescent="0.35">
      <c r="A23" s="2" t="s">
        <v>138</v>
      </c>
      <c r="B23" s="9">
        <f>+VLOOKUP(D23,[1]Sheet1!$A:$J,10,)</f>
        <v>4133</v>
      </c>
      <c r="C23" s="9">
        <f t="shared" si="0"/>
        <v>24798</v>
      </c>
      <c r="D23" s="2" t="s">
        <v>7</v>
      </c>
      <c r="E23" s="2">
        <v>750</v>
      </c>
      <c r="F23" s="2" t="s">
        <v>69</v>
      </c>
      <c r="G23" s="2">
        <v>6</v>
      </c>
      <c r="H23" s="2" t="s">
        <v>41</v>
      </c>
      <c r="I23" s="3">
        <f t="shared" si="1"/>
        <v>6</v>
      </c>
    </row>
    <row r="24" spans="1:72" s="2" customFormat="1" x14ac:dyDescent="0.35">
      <c r="A24" s="2" t="s">
        <v>138</v>
      </c>
      <c r="B24" s="9"/>
      <c r="C24" s="9">
        <f t="shared" si="0"/>
        <v>0</v>
      </c>
      <c r="D24" s="2" t="s">
        <v>178</v>
      </c>
      <c r="E24" s="2">
        <v>750</v>
      </c>
      <c r="F24" s="2" t="s">
        <v>179</v>
      </c>
      <c r="H24" s="2" t="s">
        <v>41</v>
      </c>
      <c r="I24" s="3">
        <f t="shared" si="1"/>
        <v>6</v>
      </c>
      <c r="BL24" s="2">
        <v>6</v>
      </c>
    </row>
    <row r="25" spans="1:72" s="2" customFormat="1" x14ac:dyDescent="0.35">
      <c r="A25" s="2" t="s">
        <v>138</v>
      </c>
      <c r="B25" s="9"/>
      <c r="C25" s="9">
        <f t="shared" si="0"/>
        <v>0</v>
      </c>
      <c r="D25" s="2" t="s">
        <v>180</v>
      </c>
      <c r="E25" s="2">
        <v>750</v>
      </c>
      <c r="F25" s="2" t="s">
        <v>181</v>
      </c>
      <c r="H25" s="2" t="s">
        <v>41</v>
      </c>
      <c r="I25" s="3">
        <f t="shared" si="1"/>
        <v>6</v>
      </c>
      <c r="BL25" s="2">
        <v>12</v>
      </c>
      <c r="BM25" s="2">
        <v>-6</v>
      </c>
    </row>
    <row r="26" spans="1:72" s="2" customFormat="1" x14ac:dyDescent="0.35">
      <c r="A26" s="2" t="s">
        <v>138</v>
      </c>
      <c r="B26" s="9">
        <v>3766</v>
      </c>
      <c r="C26" s="9">
        <f t="shared" si="0"/>
        <v>0</v>
      </c>
      <c r="D26" s="2" t="s">
        <v>155</v>
      </c>
      <c r="E26" s="2">
        <v>1000</v>
      </c>
      <c r="F26" s="2" t="s">
        <v>156</v>
      </c>
      <c r="H26" s="2" t="s">
        <v>41</v>
      </c>
      <c r="I26" s="3">
        <f t="shared" si="1"/>
        <v>0</v>
      </c>
      <c r="AF26" s="2">
        <v>6</v>
      </c>
      <c r="AI26" s="2">
        <v>-2</v>
      </c>
      <c r="AP26" s="2">
        <v>-3</v>
      </c>
      <c r="AR26" s="2">
        <v>6</v>
      </c>
      <c r="AW26" s="2">
        <v>-3</v>
      </c>
      <c r="BD26" s="2">
        <v>-1</v>
      </c>
      <c r="BE26" s="2">
        <v>6</v>
      </c>
      <c r="BJ26" s="2">
        <v>-1</v>
      </c>
      <c r="BN26" s="2">
        <v>-2</v>
      </c>
      <c r="BO26" s="2">
        <v>-1</v>
      </c>
      <c r="BP26" s="2">
        <v>3</v>
      </c>
      <c r="BQ26" s="2">
        <v>-5</v>
      </c>
      <c r="BR26" s="2">
        <v>-2</v>
      </c>
      <c r="BT26" s="2">
        <v>-1</v>
      </c>
    </row>
    <row r="27" spans="1:72" s="2" customFormat="1" x14ac:dyDescent="0.35">
      <c r="A27" s="2" t="s">
        <v>138</v>
      </c>
      <c r="B27" s="9">
        <f>+VLOOKUP(D27,[1]Sheet1!$A:$J,10,)</f>
        <v>9527.48</v>
      </c>
      <c r="C27" s="9">
        <f t="shared" si="0"/>
        <v>114329.76</v>
      </c>
      <c r="D27" s="2" t="s">
        <v>14</v>
      </c>
      <c r="E27" s="2">
        <v>750</v>
      </c>
      <c r="F27" s="2" t="s">
        <v>77</v>
      </c>
      <c r="G27" s="2">
        <v>6</v>
      </c>
      <c r="H27" s="2" t="s">
        <v>41</v>
      </c>
      <c r="I27" s="3">
        <f t="shared" si="1"/>
        <v>12</v>
      </c>
      <c r="M27" s="2">
        <v>6</v>
      </c>
      <c r="X27" s="2">
        <v>6</v>
      </c>
      <c r="AA27" s="2">
        <v>-6</v>
      </c>
      <c r="AM27" s="2">
        <v>-6</v>
      </c>
      <c r="AR27" s="2">
        <v>6</v>
      </c>
      <c r="AW27" s="2">
        <v>-6</v>
      </c>
      <c r="AX27" s="2">
        <v>6</v>
      </c>
      <c r="BD27" s="2">
        <v>-6</v>
      </c>
      <c r="BH27" s="2">
        <v>6</v>
      </c>
      <c r="BQ27" s="2">
        <v>-6</v>
      </c>
      <c r="BR27" s="2">
        <v>6</v>
      </c>
    </row>
    <row r="28" spans="1:72" s="2" customFormat="1" x14ac:dyDescent="0.35">
      <c r="A28" s="2" t="s">
        <v>137</v>
      </c>
      <c r="B28" s="9">
        <v>517</v>
      </c>
      <c r="C28" s="9">
        <f t="shared" si="0"/>
        <v>2585</v>
      </c>
      <c r="D28" s="2" t="s">
        <v>44</v>
      </c>
      <c r="E28" s="2">
        <v>350</v>
      </c>
      <c r="F28" s="2" t="e">
        <v>#N/A</v>
      </c>
      <c r="G28" s="2">
        <v>18</v>
      </c>
      <c r="H28" s="2" t="s">
        <v>41</v>
      </c>
      <c r="I28" s="3">
        <f t="shared" si="1"/>
        <v>5</v>
      </c>
      <c r="J28" s="2">
        <v>-6</v>
      </c>
      <c r="AI28" s="2">
        <v>-1</v>
      </c>
      <c r="BB28" s="2">
        <v>-1</v>
      </c>
      <c r="BT28" s="2">
        <v>-5</v>
      </c>
    </row>
    <row r="29" spans="1:72" s="2" customFormat="1" x14ac:dyDescent="0.35">
      <c r="A29" s="2" t="s">
        <v>138</v>
      </c>
      <c r="B29" s="9">
        <f>+VLOOKUP(D29,[1]Sheet1!$A:$J,10,)</f>
        <v>3501</v>
      </c>
      <c r="C29" s="9">
        <f t="shared" si="0"/>
        <v>31509</v>
      </c>
      <c r="D29" s="2" t="s">
        <v>32</v>
      </c>
      <c r="E29" s="2">
        <v>750</v>
      </c>
      <c r="F29" s="2" t="s">
        <v>94</v>
      </c>
      <c r="G29" s="2">
        <v>9</v>
      </c>
      <c r="H29" s="2" t="s">
        <v>41</v>
      </c>
      <c r="I29" s="3">
        <f t="shared" si="1"/>
        <v>9</v>
      </c>
    </row>
    <row r="30" spans="1:72" s="2" customFormat="1" x14ac:dyDescent="0.35">
      <c r="A30" s="2" t="s">
        <v>138</v>
      </c>
      <c r="B30" s="9">
        <f>+VLOOKUP(D30,[1]Sheet1!$A:$J,10,)</f>
        <v>2112</v>
      </c>
      <c r="C30" s="9">
        <f t="shared" si="0"/>
        <v>25344</v>
      </c>
      <c r="D30" s="2" t="s">
        <v>24</v>
      </c>
      <c r="E30" s="2">
        <v>750</v>
      </c>
      <c r="F30" s="2" t="s">
        <v>86</v>
      </c>
      <c r="G30" s="2">
        <v>6</v>
      </c>
      <c r="H30" s="2" t="s">
        <v>41</v>
      </c>
      <c r="I30" s="3">
        <f t="shared" si="1"/>
        <v>12</v>
      </c>
      <c r="AD30" s="2">
        <v>6</v>
      </c>
      <c r="AI30" s="2">
        <v>-6</v>
      </c>
      <c r="BQ30" s="2">
        <v>6</v>
      </c>
    </row>
    <row r="31" spans="1:72" s="2" customFormat="1" x14ac:dyDescent="0.35">
      <c r="A31" s="2" t="s">
        <v>138</v>
      </c>
      <c r="B31" s="9">
        <f>+VLOOKUP(D31,[1]Sheet1!$A:$J,10,)</f>
        <v>1915.05</v>
      </c>
      <c r="C31" s="9">
        <f t="shared" si="0"/>
        <v>22980.6</v>
      </c>
      <c r="D31" s="2" t="s">
        <v>130</v>
      </c>
      <c r="E31" s="2">
        <v>750</v>
      </c>
      <c r="F31" s="2" t="s">
        <v>131</v>
      </c>
      <c r="H31" s="2" t="s">
        <v>41</v>
      </c>
      <c r="I31" s="3">
        <f t="shared" si="1"/>
        <v>12</v>
      </c>
      <c r="M31" s="2">
        <v>6</v>
      </c>
      <c r="Q31" s="2">
        <v>6</v>
      </c>
      <c r="R31" s="2">
        <v>-6</v>
      </c>
      <c r="AH31" s="2">
        <v>-6</v>
      </c>
      <c r="AK31" s="2">
        <v>12</v>
      </c>
      <c r="AZ31" s="2">
        <v>-12</v>
      </c>
      <c r="BE31" s="2">
        <v>12</v>
      </c>
    </row>
    <row r="32" spans="1:72" s="2" customFormat="1" x14ac:dyDescent="0.35">
      <c r="A32" s="2" t="s">
        <v>138</v>
      </c>
      <c r="B32" s="9">
        <f>+VLOOKUP(D32,[1]Sheet1!$A:$J,10,)</f>
        <v>2268.7391304347825</v>
      </c>
      <c r="C32" s="9">
        <f t="shared" si="0"/>
        <v>27224.869565217392</v>
      </c>
      <c r="D32" s="2" t="s">
        <v>13</v>
      </c>
      <c r="E32" s="2">
        <v>750</v>
      </c>
      <c r="F32" s="2" t="s">
        <v>76</v>
      </c>
      <c r="G32" s="2">
        <v>6</v>
      </c>
      <c r="H32" s="2" t="s">
        <v>41</v>
      </c>
      <c r="I32" s="3">
        <f t="shared" si="1"/>
        <v>12</v>
      </c>
      <c r="Q32" s="2">
        <v>12</v>
      </c>
      <c r="R32" s="2">
        <v>-6</v>
      </c>
    </row>
    <row r="33" spans="1:72" s="2" customFormat="1" x14ac:dyDescent="0.35">
      <c r="A33" s="2" t="s">
        <v>138</v>
      </c>
      <c r="B33" s="9">
        <f>+VLOOKUP(D33,[1]Sheet1!$A:$J,10,)</f>
        <v>2142.1999999999998</v>
      </c>
      <c r="C33" s="9">
        <f t="shared" si="0"/>
        <v>25706.399999999998</v>
      </c>
      <c r="D33" s="2" t="s">
        <v>4</v>
      </c>
      <c r="E33" s="2">
        <v>750</v>
      </c>
      <c r="F33" s="2" t="s">
        <v>66</v>
      </c>
      <c r="G33" s="2">
        <v>12</v>
      </c>
      <c r="H33" s="2" t="s">
        <v>41</v>
      </c>
      <c r="I33" s="3">
        <f t="shared" si="1"/>
        <v>12</v>
      </c>
    </row>
    <row r="34" spans="1:72" s="2" customFormat="1" x14ac:dyDescent="0.35">
      <c r="A34" s="2" t="s">
        <v>138</v>
      </c>
      <c r="B34" s="9">
        <f>+VLOOKUP(D34,[1]Sheet1!$A:$J,10,)</f>
        <v>2348.1176470588234</v>
      </c>
      <c r="C34" s="9">
        <f t="shared" ref="C34:C65" si="2">+B34*I34</f>
        <v>28177.411764705881</v>
      </c>
      <c r="D34" s="2" t="s">
        <v>9</v>
      </c>
      <c r="E34" s="2">
        <v>750</v>
      </c>
      <c r="F34" s="2" t="s">
        <v>71</v>
      </c>
      <c r="G34" s="2">
        <v>12</v>
      </c>
      <c r="H34" s="2" t="s">
        <v>41</v>
      </c>
      <c r="I34" s="3">
        <f t="shared" ref="I34:I65" si="3">SUM(J34:XFD34,G34)</f>
        <v>12</v>
      </c>
      <c r="M34" s="2">
        <v>-6</v>
      </c>
      <c r="AX34" s="2">
        <v>6</v>
      </c>
    </row>
    <row r="35" spans="1:72" s="2" customFormat="1" x14ac:dyDescent="0.35">
      <c r="A35" s="2" t="s">
        <v>138</v>
      </c>
      <c r="B35" s="9">
        <f>+VLOOKUP(D35,[1]Sheet1!$A:$J,10,)</f>
        <v>3190</v>
      </c>
      <c r="C35" s="9">
        <f t="shared" si="2"/>
        <v>38280</v>
      </c>
      <c r="D35" s="2" t="s">
        <v>27</v>
      </c>
      <c r="E35" s="2">
        <v>750</v>
      </c>
      <c r="F35" s="2" t="s">
        <v>89</v>
      </c>
      <c r="G35" s="2">
        <v>12</v>
      </c>
      <c r="H35" s="2" t="s">
        <v>41</v>
      </c>
      <c r="I35" s="3">
        <f t="shared" si="3"/>
        <v>12</v>
      </c>
      <c r="N35" s="2">
        <v>-6</v>
      </c>
      <c r="AK35" s="2">
        <v>6</v>
      </c>
      <c r="BK35" s="2">
        <v>-6</v>
      </c>
      <c r="BL35" s="2">
        <v>6</v>
      </c>
    </row>
    <row r="36" spans="1:72" s="2" customFormat="1" x14ac:dyDescent="0.35">
      <c r="A36" s="2" t="s">
        <v>138</v>
      </c>
      <c r="B36" s="9">
        <v>9871</v>
      </c>
      <c r="C36" s="9">
        <f t="shared" si="2"/>
        <v>118452</v>
      </c>
      <c r="D36" s="2" t="s">
        <v>160</v>
      </c>
      <c r="E36" s="2">
        <v>750</v>
      </c>
      <c r="F36" s="2" t="s">
        <v>161</v>
      </c>
      <c r="H36" s="2" t="s">
        <v>41</v>
      </c>
      <c r="I36" s="3">
        <f t="shared" si="3"/>
        <v>12</v>
      </c>
      <c r="AK36" s="2">
        <v>18</v>
      </c>
      <c r="AM36" s="2">
        <v>-6</v>
      </c>
      <c r="AQ36" s="2">
        <v>-6</v>
      </c>
      <c r="AT36" s="2">
        <v>12</v>
      </c>
      <c r="BQ36" s="2">
        <v>-6</v>
      </c>
      <c r="BR36" s="2">
        <v>6</v>
      </c>
      <c r="BT36" s="2">
        <v>-6</v>
      </c>
    </row>
    <row r="37" spans="1:72" s="2" customFormat="1" x14ac:dyDescent="0.35">
      <c r="A37" s="2" t="s">
        <v>138</v>
      </c>
      <c r="B37" s="9">
        <f>+VLOOKUP(D37,[1]Sheet1!$A:$J,10,)</f>
        <v>2453.8000000000002</v>
      </c>
      <c r="C37" s="9">
        <f t="shared" si="2"/>
        <v>58891.200000000004</v>
      </c>
      <c r="D37" s="2" t="s">
        <v>3</v>
      </c>
      <c r="E37" s="2">
        <v>750</v>
      </c>
      <c r="F37" s="2" t="s">
        <v>65</v>
      </c>
      <c r="G37" s="2">
        <v>54</v>
      </c>
      <c r="H37" s="2" t="s">
        <v>41</v>
      </c>
      <c r="I37" s="3">
        <f t="shared" si="3"/>
        <v>24</v>
      </c>
      <c r="AE37" s="2">
        <v>-6</v>
      </c>
      <c r="AF37" s="2">
        <v>-6</v>
      </c>
      <c r="AH37" s="2">
        <v>-12</v>
      </c>
      <c r="AZ37" s="2">
        <v>-6</v>
      </c>
      <c r="BM37" s="2">
        <v>-6</v>
      </c>
      <c r="BN37" s="2">
        <v>-6</v>
      </c>
      <c r="BQ37" s="2">
        <v>12</v>
      </c>
    </row>
    <row r="38" spans="1:72" s="2" customFormat="1" x14ac:dyDescent="0.35">
      <c r="A38" s="2" t="s">
        <v>138</v>
      </c>
      <c r="B38" s="9">
        <f>+VLOOKUP(D38,[1]Sheet1!$A:$J,10,)</f>
        <v>3242.5</v>
      </c>
      <c r="C38" s="9">
        <f t="shared" si="2"/>
        <v>51880</v>
      </c>
      <c r="D38" s="2" t="s">
        <v>11</v>
      </c>
      <c r="E38" s="2">
        <v>750</v>
      </c>
      <c r="F38" s="2" t="s">
        <v>73</v>
      </c>
      <c r="G38" s="2">
        <v>12</v>
      </c>
      <c r="H38" s="2" t="s">
        <v>41</v>
      </c>
      <c r="I38" s="3">
        <f t="shared" si="3"/>
        <v>16</v>
      </c>
      <c r="AX38" s="2">
        <v>6</v>
      </c>
      <c r="BB38" s="2">
        <v>-1</v>
      </c>
      <c r="BM38" s="2">
        <v>-1</v>
      </c>
    </row>
    <row r="39" spans="1:72" s="2" customFormat="1" x14ac:dyDescent="0.35">
      <c r="A39" s="2" t="s">
        <v>138</v>
      </c>
      <c r="B39" s="9">
        <f>+VLOOKUP(D39,[1]Sheet1!$A:$J,10,)</f>
        <v>11193</v>
      </c>
      <c r="C39" s="9">
        <f t="shared" si="2"/>
        <v>134316</v>
      </c>
      <c r="D39" s="2" t="s">
        <v>15</v>
      </c>
      <c r="E39" s="2">
        <v>750</v>
      </c>
      <c r="F39" s="2" t="s">
        <v>78</v>
      </c>
      <c r="G39" s="2">
        <v>18</v>
      </c>
      <c r="H39" s="2" t="s">
        <v>41</v>
      </c>
      <c r="I39" s="3">
        <f t="shared" si="3"/>
        <v>12</v>
      </c>
      <c r="M39" s="2">
        <v>-6</v>
      </c>
      <c r="Q39" s="2">
        <v>6</v>
      </c>
      <c r="R39" s="2">
        <v>-6</v>
      </c>
      <c r="AA39" s="2">
        <v>-6</v>
      </c>
      <c r="AC39" s="2">
        <v>-6</v>
      </c>
      <c r="AD39" s="2">
        <v>12</v>
      </c>
      <c r="AF39" s="2">
        <v>6</v>
      </c>
      <c r="AH39" s="2">
        <v>-6</v>
      </c>
      <c r="AI39" s="2">
        <v>-6</v>
      </c>
      <c r="AK39" s="2">
        <v>6</v>
      </c>
      <c r="AN39" s="2">
        <v>6</v>
      </c>
      <c r="AP39" s="2">
        <v>-6</v>
      </c>
      <c r="AQ39" s="2">
        <v>-6</v>
      </c>
      <c r="AR39" s="2">
        <v>12</v>
      </c>
      <c r="AW39" s="2">
        <v>-6</v>
      </c>
      <c r="BA39" s="2">
        <v>6</v>
      </c>
      <c r="BC39" s="2">
        <v>-6</v>
      </c>
      <c r="BD39" s="2">
        <v>-12</v>
      </c>
      <c r="BE39" s="2">
        <v>6</v>
      </c>
      <c r="BH39" s="2">
        <v>18</v>
      </c>
      <c r="BJ39" s="2">
        <v>-12</v>
      </c>
      <c r="BN39" s="2">
        <v>6</v>
      </c>
      <c r="BO39" s="2">
        <v>-6</v>
      </c>
      <c r="BP39" s="2">
        <v>-6</v>
      </c>
      <c r="BQ39" s="2">
        <v>12</v>
      </c>
      <c r="BR39" s="2">
        <v>-6</v>
      </c>
    </row>
    <row r="40" spans="1:72" s="2" customFormat="1" x14ac:dyDescent="0.35">
      <c r="A40" s="2" t="s">
        <v>138</v>
      </c>
      <c r="B40" s="9">
        <f>+VLOOKUP(D40,[1]Sheet1!$A:$J,10,)</f>
        <v>3338</v>
      </c>
      <c r="C40" s="9">
        <f t="shared" si="2"/>
        <v>60084</v>
      </c>
      <c r="D40" s="2" t="s">
        <v>26</v>
      </c>
      <c r="E40" s="2">
        <v>750</v>
      </c>
      <c r="F40" s="2" t="s">
        <v>88</v>
      </c>
      <c r="G40" s="2">
        <v>12</v>
      </c>
      <c r="H40" s="2" t="s">
        <v>41</v>
      </c>
      <c r="I40" s="3">
        <f t="shared" si="3"/>
        <v>18</v>
      </c>
      <c r="N40" s="2">
        <v>-6</v>
      </c>
      <c r="X40" s="2">
        <v>6</v>
      </c>
      <c r="AF40" s="2">
        <v>6</v>
      </c>
      <c r="BA40" s="2">
        <v>-6</v>
      </c>
      <c r="BH40" s="2">
        <v>6</v>
      </c>
    </row>
    <row r="41" spans="1:72" s="2" customFormat="1" x14ac:dyDescent="0.35">
      <c r="A41" s="2" t="s">
        <v>137</v>
      </c>
      <c r="B41" s="9">
        <v>1471</v>
      </c>
      <c r="C41" s="9">
        <f t="shared" si="2"/>
        <v>86789</v>
      </c>
      <c r="D41" s="2" t="s">
        <v>116</v>
      </c>
      <c r="E41" s="2">
        <v>1500</v>
      </c>
      <c r="F41" s="2" t="s">
        <v>117</v>
      </c>
      <c r="G41" s="2">
        <v>6</v>
      </c>
      <c r="H41" s="2" t="s">
        <v>41</v>
      </c>
      <c r="I41" s="3">
        <f t="shared" si="3"/>
        <v>59</v>
      </c>
      <c r="O41" s="2">
        <v>18</v>
      </c>
      <c r="U41" s="2">
        <v>-6</v>
      </c>
      <c r="AC41" s="2">
        <v>-6</v>
      </c>
      <c r="AP41" s="2">
        <v>-6</v>
      </c>
      <c r="AS41" s="2">
        <v>-6</v>
      </c>
      <c r="AT41" s="2">
        <v>24</v>
      </c>
      <c r="AY41" s="2">
        <v>-6</v>
      </c>
      <c r="BM41" s="2">
        <v>-5</v>
      </c>
      <c r="BN41" s="2">
        <v>18</v>
      </c>
      <c r="BQ41" s="2">
        <v>28</v>
      </c>
    </row>
    <row r="42" spans="1:72" s="2" customFormat="1" x14ac:dyDescent="0.35">
      <c r="A42" s="2" t="s">
        <v>138</v>
      </c>
      <c r="B42" s="9">
        <f>+VLOOKUP(D42,[1]Sheet1!$A:$J,10,)</f>
        <v>8320</v>
      </c>
      <c r="C42" s="9">
        <f t="shared" si="2"/>
        <v>99840</v>
      </c>
      <c r="D42" s="2" t="s">
        <v>23</v>
      </c>
      <c r="E42" s="2">
        <v>750</v>
      </c>
      <c r="F42" s="2" t="s">
        <v>85</v>
      </c>
      <c r="G42" s="2">
        <v>12</v>
      </c>
      <c r="H42" s="2" t="s">
        <v>41</v>
      </c>
      <c r="I42" s="3">
        <f t="shared" si="3"/>
        <v>12</v>
      </c>
      <c r="K42" s="2">
        <v>-6</v>
      </c>
      <c r="M42" s="2">
        <v>6</v>
      </c>
      <c r="X42" s="2">
        <v>6</v>
      </c>
      <c r="AA42" s="2">
        <v>-6</v>
      </c>
      <c r="AF42" s="2">
        <v>6</v>
      </c>
      <c r="AQ42" s="2">
        <v>-12</v>
      </c>
      <c r="AR42" s="2">
        <v>6</v>
      </c>
      <c r="AV42" s="2">
        <v>6</v>
      </c>
      <c r="BT42" s="2">
        <v>-6</v>
      </c>
    </row>
    <row r="43" spans="1:72" s="2" customFormat="1" x14ac:dyDescent="0.35">
      <c r="A43" s="2" t="s">
        <v>138</v>
      </c>
      <c r="B43" s="9">
        <f>+VLOOKUP(D43,[1]Sheet1!$A:$J,10,)</f>
        <v>3521.5454545454545</v>
      </c>
      <c r="C43" s="9">
        <f t="shared" si="2"/>
        <v>84517.090909090912</v>
      </c>
      <c r="D43" s="2" t="s">
        <v>29</v>
      </c>
      <c r="E43" s="2">
        <v>750</v>
      </c>
      <c r="F43" s="2" t="s">
        <v>91</v>
      </c>
      <c r="G43" s="2">
        <v>12</v>
      </c>
      <c r="H43" s="2" t="s">
        <v>41</v>
      </c>
      <c r="I43" s="3">
        <f t="shared" si="3"/>
        <v>24</v>
      </c>
      <c r="K43" s="2">
        <v>-6</v>
      </c>
      <c r="M43" s="2">
        <v>6</v>
      </c>
      <c r="Q43" s="2">
        <v>6</v>
      </c>
      <c r="S43" s="2">
        <v>-6</v>
      </c>
      <c r="V43" s="2">
        <v>6</v>
      </c>
      <c r="X43" s="2">
        <v>-6</v>
      </c>
      <c r="Y43" s="2">
        <v>-6</v>
      </c>
      <c r="AA43" s="2">
        <v>-6</v>
      </c>
      <c r="AD43" s="2">
        <v>12</v>
      </c>
      <c r="AE43" s="2">
        <v>-6</v>
      </c>
      <c r="AF43" s="2">
        <v>12</v>
      </c>
      <c r="AI43" s="2">
        <v>-6</v>
      </c>
      <c r="AJ43" s="2">
        <v>-6</v>
      </c>
      <c r="AK43" s="2">
        <v>12</v>
      </c>
      <c r="AM43" s="2">
        <v>-6</v>
      </c>
      <c r="AN43" s="2">
        <v>6</v>
      </c>
      <c r="AP43" s="2">
        <v>-6</v>
      </c>
      <c r="AR43" s="2">
        <v>6</v>
      </c>
      <c r="AV43" s="2">
        <v>-12</v>
      </c>
      <c r="AW43" s="2">
        <v>-6</v>
      </c>
      <c r="AX43" s="2">
        <v>12</v>
      </c>
      <c r="BA43" s="2">
        <v>12</v>
      </c>
      <c r="BD43" s="2">
        <v>-6</v>
      </c>
      <c r="BH43" s="2">
        <v>12</v>
      </c>
      <c r="BJ43" s="2">
        <v>-6</v>
      </c>
      <c r="BK43" s="2">
        <v>-6</v>
      </c>
      <c r="BM43" s="2">
        <v>-12</v>
      </c>
      <c r="BN43" s="2">
        <v>6</v>
      </c>
      <c r="BO43" s="2">
        <v>-6</v>
      </c>
      <c r="BP43" s="2">
        <v>12</v>
      </c>
      <c r="BS43" s="2">
        <v>6</v>
      </c>
    </row>
    <row r="44" spans="1:72" s="2" customFormat="1" x14ac:dyDescent="0.35">
      <c r="A44" s="2" t="s">
        <v>138</v>
      </c>
      <c r="B44" s="9">
        <v>3476</v>
      </c>
      <c r="C44" s="9">
        <f t="shared" si="2"/>
        <v>62568</v>
      </c>
      <c r="D44" s="2" t="s">
        <v>166</v>
      </c>
      <c r="E44" s="2">
        <v>750</v>
      </c>
      <c r="F44" s="2" t="s">
        <v>165</v>
      </c>
      <c r="H44" s="2" t="s">
        <v>41</v>
      </c>
      <c r="I44" s="3">
        <f t="shared" si="3"/>
        <v>18</v>
      </c>
      <c r="AT44" s="2">
        <v>18</v>
      </c>
      <c r="BC44" s="2">
        <v>-6</v>
      </c>
      <c r="BE44" s="2">
        <v>6</v>
      </c>
      <c r="BI44" s="2">
        <v>-6</v>
      </c>
      <c r="BK44" s="2">
        <v>-6</v>
      </c>
      <c r="BL44" s="2">
        <v>12</v>
      </c>
      <c r="BM44" s="2">
        <v>-6</v>
      </c>
      <c r="BN44" s="2">
        <v>6</v>
      </c>
      <c r="BO44" s="2">
        <v>-6</v>
      </c>
      <c r="BP44" s="2">
        <v>12</v>
      </c>
      <c r="BQ44" s="2">
        <v>-6</v>
      </c>
      <c r="BR44" s="2">
        <v>4</v>
      </c>
      <c r="BT44" s="2">
        <v>-4</v>
      </c>
    </row>
    <row r="45" spans="1:72" s="2" customFormat="1" x14ac:dyDescent="0.35">
      <c r="A45" s="2" t="s">
        <v>138</v>
      </c>
      <c r="B45" s="9">
        <f>+VLOOKUP(D45,[1]Sheet1!$A:$J,10,)</f>
        <v>1159.8</v>
      </c>
      <c r="C45" s="9">
        <f t="shared" si="2"/>
        <v>18556.8</v>
      </c>
      <c r="D45" s="2" t="s">
        <v>128</v>
      </c>
      <c r="E45" s="2">
        <v>500</v>
      </c>
      <c r="F45" s="2" t="s">
        <v>129</v>
      </c>
      <c r="H45" s="2" t="s">
        <v>41</v>
      </c>
      <c r="I45" s="3">
        <f t="shared" si="3"/>
        <v>16</v>
      </c>
      <c r="M45" s="2">
        <v>12</v>
      </c>
      <c r="AP45" s="2">
        <v>-4</v>
      </c>
      <c r="BD45" s="2">
        <v>-2</v>
      </c>
      <c r="BH45" s="2">
        <v>12</v>
      </c>
      <c r="BR45" s="2">
        <v>-2</v>
      </c>
    </row>
    <row r="46" spans="1:72" s="2" customFormat="1" x14ac:dyDescent="0.35">
      <c r="A46" s="2" t="s">
        <v>138</v>
      </c>
      <c r="B46" s="9">
        <f>+VLOOKUP(D46,[1]Sheet1!$A:$J,10,)</f>
        <v>3196</v>
      </c>
      <c r="C46" s="9">
        <f t="shared" si="2"/>
        <v>57528</v>
      </c>
      <c r="D46" s="2" t="s">
        <v>21</v>
      </c>
      <c r="E46" s="2">
        <v>750</v>
      </c>
      <c r="F46" s="2" t="s">
        <v>83</v>
      </c>
      <c r="G46" s="2">
        <v>18</v>
      </c>
      <c r="H46" s="2" t="s">
        <v>41</v>
      </c>
      <c r="I46" s="3">
        <f t="shared" si="3"/>
        <v>18</v>
      </c>
      <c r="K46" s="2">
        <v>-6</v>
      </c>
      <c r="Q46" s="2">
        <v>6</v>
      </c>
      <c r="R46" s="2">
        <v>-6</v>
      </c>
      <c r="X46" s="2">
        <v>6</v>
      </c>
      <c r="AC46" s="2">
        <v>-6</v>
      </c>
      <c r="AF46" s="2">
        <v>12</v>
      </c>
      <c r="AH46" s="2">
        <v>-6</v>
      </c>
      <c r="AP46" s="2">
        <v>-6</v>
      </c>
      <c r="AR46" s="2">
        <v>6</v>
      </c>
      <c r="AZ46" s="2">
        <v>-6</v>
      </c>
      <c r="BA46" s="2">
        <v>6</v>
      </c>
      <c r="BC46" s="2">
        <v>-6</v>
      </c>
      <c r="BE46" s="2">
        <v>6</v>
      </c>
      <c r="BH46" s="2">
        <v>12</v>
      </c>
      <c r="BJ46" s="2">
        <v>-12</v>
      </c>
      <c r="BN46" s="2">
        <v>6</v>
      </c>
      <c r="BO46" s="2">
        <v>-6</v>
      </c>
      <c r="BP46" s="2">
        <v>12</v>
      </c>
      <c r="BQ46" s="2">
        <v>-12</v>
      </c>
      <c r="BR46" s="2">
        <v>6</v>
      </c>
      <c r="BT46" s="2">
        <v>-6</v>
      </c>
    </row>
    <row r="47" spans="1:72" s="2" customFormat="1" x14ac:dyDescent="0.35">
      <c r="A47" s="2" t="s">
        <v>138</v>
      </c>
      <c r="B47" s="9">
        <f>+VLOOKUP(D47,[1]Sheet1!$A:$J,10,)</f>
        <v>1883.2916666666667</v>
      </c>
      <c r="C47" s="9">
        <f t="shared" si="2"/>
        <v>33899.25</v>
      </c>
      <c r="D47" s="2" t="s">
        <v>1</v>
      </c>
      <c r="E47" s="2">
        <v>750</v>
      </c>
      <c r="F47" s="2" t="s">
        <v>63</v>
      </c>
      <c r="G47" s="2">
        <v>18</v>
      </c>
      <c r="H47" s="2" t="s">
        <v>41</v>
      </c>
      <c r="I47" s="3">
        <f t="shared" si="3"/>
        <v>18</v>
      </c>
      <c r="R47" s="2">
        <v>-6</v>
      </c>
      <c r="BJ47" s="2">
        <v>-6</v>
      </c>
      <c r="BM47" s="2">
        <v>-6</v>
      </c>
      <c r="BP47" s="2">
        <v>18</v>
      </c>
      <c r="BQ47" s="2">
        <v>6</v>
      </c>
      <c r="BR47" s="2">
        <v>-6</v>
      </c>
    </row>
    <row r="48" spans="1:72" s="2" customFormat="1" x14ac:dyDescent="0.35">
      <c r="A48" s="2" t="s">
        <v>138</v>
      </c>
      <c r="B48" s="9">
        <f>+VLOOKUP(D48,[1]Sheet1!$A:$J,10,)</f>
        <v>2416.0434782608695</v>
      </c>
      <c r="C48" s="9">
        <f t="shared" si="2"/>
        <v>57985.043478260865</v>
      </c>
      <c r="D48" s="2" t="s">
        <v>8</v>
      </c>
      <c r="E48" s="2">
        <v>750</v>
      </c>
      <c r="F48" s="2" t="s">
        <v>70</v>
      </c>
      <c r="G48" s="2">
        <v>18</v>
      </c>
      <c r="H48" s="2" t="s">
        <v>41</v>
      </c>
      <c r="I48" s="3">
        <f t="shared" si="3"/>
        <v>24</v>
      </c>
      <c r="AE48" s="2">
        <v>-6</v>
      </c>
      <c r="AM48" s="2">
        <v>-6</v>
      </c>
      <c r="AR48" s="2">
        <v>12</v>
      </c>
      <c r="BQ48" s="2">
        <v>6</v>
      </c>
    </row>
    <row r="49" spans="1:72" s="2" customFormat="1" x14ac:dyDescent="0.35">
      <c r="A49" s="2" t="s">
        <v>138</v>
      </c>
      <c r="B49" s="9">
        <f>+VLOOKUP(D49,[1]Sheet1!$A:$J,10,)</f>
        <v>2869.2380952380954</v>
      </c>
      <c r="C49" s="9">
        <f t="shared" si="2"/>
        <v>51646.285714285717</v>
      </c>
      <c r="D49" s="2" t="s">
        <v>28</v>
      </c>
      <c r="E49" s="2">
        <v>750</v>
      </c>
      <c r="F49" s="2" t="s">
        <v>90</v>
      </c>
      <c r="G49" s="2">
        <v>12</v>
      </c>
      <c r="H49" s="2" t="s">
        <v>41</v>
      </c>
      <c r="I49" s="3">
        <f t="shared" si="3"/>
        <v>18</v>
      </c>
      <c r="Q49" s="2">
        <v>6</v>
      </c>
      <c r="AA49" s="2">
        <v>-6</v>
      </c>
      <c r="AF49" s="2">
        <v>6</v>
      </c>
      <c r="AM49" s="2">
        <v>-6</v>
      </c>
      <c r="AR49" s="2">
        <v>6</v>
      </c>
      <c r="AW49" s="2">
        <v>-6</v>
      </c>
      <c r="BD49" s="2">
        <v>-6</v>
      </c>
      <c r="BE49" s="2">
        <v>6</v>
      </c>
      <c r="BH49" s="2">
        <v>6</v>
      </c>
      <c r="BN49" s="2">
        <v>6</v>
      </c>
      <c r="BO49" s="2">
        <v>-6</v>
      </c>
      <c r="BQ49" s="2">
        <v>6</v>
      </c>
      <c r="BT49" s="2">
        <v>-6</v>
      </c>
    </row>
    <row r="50" spans="1:72" s="2" customFormat="1" x14ac:dyDescent="0.35">
      <c r="A50" s="2" t="s">
        <v>138</v>
      </c>
      <c r="B50" s="9">
        <f>+VLOOKUP(D50,[1]Sheet1!$A:$J,10,)</f>
        <v>5438</v>
      </c>
      <c r="C50" s="9">
        <f t="shared" si="2"/>
        <v>97884</v>
      </c>
      <c r="D50" s="2" t="s">
        <v>25</v>
      </c>
      <c r="E50" s="2">
        <v>750</v>
      </c>
      <c r="F50" s="2" t="s">
        <v>87</v>
      </c>
      <c r="G50" s="2">
        <v>18</v>
      </c>
      <c r="H50" s="2" t="s">
        <v>41</v>
      </c>
      <c r="I50" s="3">
        <f t="shared" si="3"/>
        <v>18</v>
      </c>
      <c r="J50" s="2">
        <v>-6</v>
      </c>
      <c r="M50" s="2">
        <v>6</v>
      </c>
      <c r="N50" s="2">
        <v>-6</v>
      </c>
      <c r="Q50" s="2">
        <v>12</v>
      </c>
      <c r="R50" s="2">
        <v>-6</v>
      </c>
      <c r="S50" s="2">
        <v>-6</v>
      </c>
      <c r="V50" s="2">
        <v>12</v>
      </c>
      <c r="Z50" s="2">
        <v>-6</v>
      </c>
      <c r="AC50" s="2">
        <v>-6</v>
      </c>
      <c r="AD50" s="2">
        <v>6</v>
      </c>
      <c r="AF50" s="2">
        <v>6</v>
      </c>
      <c r="AH50" s="2">
        <v>-6</v>
      </c>
      <c r="AM50" s="2">
        <v>-6</v>
      </c>
      <c r="AN50" s="2">
        <v>12</v>
      </c>
      <c r="AP50" s="2">
        <v>-6</v>
      </c>
      <c r="AR50" s="2">
        <v>18</v>
      </c>
      <c r="AT50" s="2">
        <v>-18</v>
      </c>
      <c r="AV50" s="2">
        <v>18</v>
      </c>
      <c r="BA50" s="2">
        <v>-6</v>
      </c>
      <c r="BB50" s="2">
        <v>-6</v>
      </c>
      <c r="BG50" s="2">
        <v>-6</v>
      </c>
      <c r="BH50" s="2">
        <v>6</v>
      </c>
      <c r="BM50" s="2">
        <v>-6</v>
      </c>
      <c r="BN50" s="2">
        <v>-6</v>
      </c>
      <c r="BO50" s="2">
        <v>6</v>
      </c>
      <c r="BP50" s="2">
        <v>-6</v>
      </c>
      <c r="BQ50" s="2">
        <v>12</v>
      </c>
      <c r="BR50" s="2">
        <v>-6</v>
      </c>
    </row>
    <row r="51" spans="1:72" s="2" customFormat="1" x14ac:dyDescent="0.35">
      <c r="A51" s="2" t="s">
        <v>138</v>
      </c>
      <c r="B51" s="9">
        <f>+VLOOKUP(D51,[1]Sheet1!$A:$J,10,)</f>
        <v>1616.0416666666667</v>
      </c>
      <c r="C51" s="9">
        <f t="shared" si="2"/>
        <v>37168.958333333336</v>
      </c>
      <c r="D51" s="2" t="s">
        <v>118</v>
      </c>
      <c r="E51" s="2">
        <v>2000</v>
      </c>
      <c r="F51" s="2" t="s">
        <v>119</v>
      </c>
      <c r="G51" s="2">
        <v>15</v>
      </c>
      <c r="H51" s="2" t="s">
        <v>41</v>
      </c>
      <c r="I51" s="3">
        <f t="shared" si="3"/>
        <v>23</v>
      </c>
      <c r="J51" s="2">
        <v>-4</v>
      </c>
      <c r="M51" s="2">
        <v>8</v>
      </c>
      <c r="X51" s="2">
        <v>-3</v>
      </c>
      <c r="Y51" s="2">
        <v>-4</v>
      </c>
      <c r="AD51" s="2">
        <v>12</v>
      </c>
      <c r="AE51" s="2">
        <v>-16</v>
      </c>
      <c r="AF51" s="2">
        <v>16</v>
      </c>
      <c r="AI51" s="2">
        <v>-4</v>
      </c>
      <c r="AN51" s="2">
        <v>8</v>
      </c>
      <c r="AR51" s="2">
        <v>-10</v>
      </c>
      <c r="AS51" s="2">
        <v>-4</v>
      </c>
      <c r="AV51" s="2">
        <v>16</v>
      </c>
      <c r="BA51" s="2">
        <v>-2</v>
      </c>
      <c r="BD51" s="2">
        <v>-10</v>
      </c>
      <c r="BE51" s="2">
        <v>-8</v>
      </c>
      <c r="BH51" s="2">
        <v>16</v>
      </c>
      <c r="BK51" s="2">
        <v>-7</v>
      </c>
      <c r="BM51" s="2">
        <v>-3</v>
      </c>
      <c r="BN51" s="2">
        <v>8</v>
      </c>
      <c r="BO51" s="2">
        <v>8</v>
      </c>
      <c r="BP51" s="2">
        <v>-2</v>
      </c>
      <c r="BQ51" s="2">
        <v>-7</v>
      </c>
    </row>
    <row r="52" spans="1:72" s="2" customFormat="1" x14ac:dyDescent="0.35">
      <c r="A52" s="2" t="s">
        <v>138</v>
      </c>
      <c r="B52" s="9">
        <v>2664</v>
      </c>
      <c r="C52" s="9">
        <f t="shared" si="2"/>
        <v>63936</v>
      </c>
      <c r="D52" s="2" t="s">
        <v>157</v>
      </c>
      <c r="E52" s="2">
        <v>750</v>
      </c>
      <c r="F52" s="2" t="s">
        <v>158</v>
      </c>
      <c r="H52" s="2" t="s">
        <v>41</v>
      </c>
      <c r="I52" s="3">
        <f t="shared" si="3"/>
        <v>24</v>
      </c>
      <c r="AF52" s="2">
        <v>6</v>
      </c>
      <c r="BN52" s="2">
        <v>18</v>
      </c>
    </row>
    <row r="53" spans="1:72" s="2" customFormat="1" x14ac:dyDescent="0.35">
      <c r="A53" s="2" t="s">
        <v>138</v>
      </c>
      <c r="B53" s="9">
        <v>1805</v>
      </c>
      <c r="C53" s="9">
        <f t="shared" si="2"/>
        <v>43320</v>
      </c>
      <c r="D53" s="2" t="s">
        <v>122</v>
      </c>
      <c r="E53" s="2">
        <v>750</v>
      </c>
      <c r="F53" s="2" t="s">
        <v>175</v>
      </c>
      <c r="H53" s="2" t="s">
        <v>41</v>
      </c>
      <c r="I53" s="3">
        <f t="shared" si="3"/>
        <v>24</v>
      </c>
      <c r="BH53" s="2">
        <v>18</v>
      </c>
      <c r="BJ53" s="2">
        <v>-6</v>
      </c>
      <c r="BM53" s="2">
        <v>-6</v>
      </c>
      <c r="BN53" s="2">
        <v>18</v>
      </c>
    </row>
    <row r="54" spans="1:72" s="2" customFormat="1" x14ac:dyDescent="0.35">
      <c r="A54" s="2" t="s">
        <v>138</v>
      </c>
      <c r="B54" s="9">
        <f>+VLOOKUP(D54,[1]Sheet1!$A:$J,10,)</f>
        <v>2874.409090909091</v>
      </c>
      <c r="C54" s="9">
        <f t="shared" si="2"/>
        <v>68985.818181818177</v>
      </c>
      <c r="D54" s="2" t="s">
        <v>6</v>
      </c>
      <c r="E54" s="2">
        <v>750</v>
      </c>
      <c r="F54" s="2" t="s">
        <v>68</v>
      </c>
      <c r="G54" s="2">
        <v>18</v>
      </c>
      <c r="H54" s="2" t="s">
        <v>41</v>
      </c>
      <c r="I54" s="3">
        <f t="shared" si="3"/>
        <v>24</v>
      </c>
      <c r="AX54" s="2">
        <v>6</v>
      </c>
    </row>
    <row r="55" spans="1:72" s="2" customFormat="1" x14ac:dyDescent="0.35">
      <c r="A55" s="2" t="s">
        <v>138</v>
      </c>
      <c r="B55" s="9">
        <f>+VLOOKUP(D55,[1]Sheet1!$A:$J,10,)</f>
        <v>12813</v>
      </c>
      <c r="C55" s="9">
        <f t="shared" si="2"/>
        <v>243447</v>
      </c>
      <c r="D55" s="2" t="s">
        <v>56</v>
      </c>
      <c r="E55" s="2">
        <v>350</v>
      </c>
      <c r="F55" s="2" t="s">
        <v>107</v>
      </c>
      <c r="G55" s="2">
        <v>18</v>
      </c>
      <c r="H55" s="2" t="s">
        <v>42</v>
      </c>
      <c r="I55" s="3">
        <f t="shared" si="3"/>
        <v>19</v>
      </c>
      <c r="J55" s="2">
        <v>-1</v>
      </c>
      <c r="K55" s="2">
        <v>-1</v>
      </c>
      <c r="M55" s="2">
        <v>5</v>
      </c>
      <c r="O55" s="2">
        <v>-2</v>
      </c>
      <c r="U55" s="2">
        <v>-2</v>
      </c>
      <c r="W55" s="2">
        <v>-1</v>
      </c>
      <c r="X55" s="2">
        <v>8</v>
      </c>
      <c r="Z55" s="2">
        <v>-2</v>
      </c>
      <c r="AA55" s="2">
        <v>-2</v>
      </c>
      <c r="AC55" s="2">
        <v>-2</v>
      </c>
      <c r="AD55" s="2">
        <v>-3</v>
      </c>
      <c r="AF55" s="2">
        <v>10</v>
      </c>
      <c r="AH55" s="2">
        <v>-1</v>
      </c>
      <c r="AI55" s="2">
        <v>-3</v>
      </c>
      <c r="AN55" s="2">
        <v>5</v>
      </c>
      <c r="AO55" s="2">
        <v>-2</v>
      </c>
      <c r="AP55" s="2">
        <v>-1</v>
      </c>
      <c r="AQ55" s="2">
        <v>-3</v>
      </c>
      <c r="AS55" s="2">
        <v>-1</v>
      </c>
      <c r="AV55" s="2">
        <v>5</v>
      </c>
      <c r="AW55" s="2">
        <v>-3</v>
      </c>
      <c r="AX55" s="2">
        <v>-1</v>
      </c>
      <c r="AY55" s="2">
        <v>-2</v>
      </c>
      <c r="BD55" s="2">
        <v>-2</v>
      </c>
      <c r="BE55" s="2">
        <v>8</v>
      </c>
      <c r="BF55" s="2">
        <v>-3</v>
      </c>
      <c r="BJ55" s="2">
        <v>-1</v>
      </c>
      <c r="BL55" s="2">
        <v>5</v>
      </c>
      <c r="BM55" s="2">
        <v>-4</v>
      </c>
      <c r="BN55" s="2">
        <v>-4</v>
      </c>
      <c r="BO55" s="2">
        <v>6</v>
      </c>
      <c r="BP55" s="2">
        <v>-3</v>
      </c>
      <c r="BQ55" s="2">
        <v>-1</v>
      </c>
    </row>
    <row r="56" spans="1:72" s="2" customFormat="1" x14ac:dyDescent="0.35">
      <c r="A56" s="2" t="s">
        <v>138</v>
      </c>
      <c r="B56" s="9">
        <f>+VLOOKUP(D56,[1]Sheet1!$A:$J,10,)</f>
        <v>2322</v>
      </c>
      <c r="C56" s="9">
        <f t="shared" si="2"/>
        <v>48762</v>
      </c>
      <c r="D56" s="4" t="s">
        <v>53</v>
      </c>
      <c r="E56" s="4">
        <v>1600</v>
      </c>
      <c r="F56" s="2" t="s">
        <v>104</v>
      </c>
      <c r="G56" s="2">
        <v>15</v>
      </c>
      <c r="H56" s="2" t="s">
        <v>154</v>
      </c>
      <c r="I56" s="3">
        <f t="shared" si="3"/>
        <v>21</v>
      </c>
      <c r="J56" s="2">
        <v>-2</v>
      </c>
      <c r="L56" s="2">
        <v>-2</v>
      </c>
      <c r="M56" s="2">
        <v>6</v>
      </c>
      <c r="N56" s="2">
        <v>-4</v>
      </c>
      <c r="Q56" s="2">
        <v>10</v>
      </c>
      <c r="R56" s="2">
        <v>-3</v>
      </c>
      <c r="U56" s="2">
        <v>-3</v>
      </c>
      <c r="V56" s="2">
        <v>10</v>
      </c>
      <c r="W56" s="2">
        <v>-3</v>
      </c>
      <c r="AA56" s="2">
        <v>-5</v>
      </c>
      <c r="AB56" s="2">
        <v>-1</v>
      </c>
      <c r="AE56" s="2">
        <v>-5</v>
      </c>
      <c r="AF56" s="2">
        <v>10</v>
      </c>
      <c r="AH56" s="2">
        <v>-7</v>
      </c>
      <c r="AJ56" s="2">
        <v>-3</v>
      </c>
      <c r="AL56" s="2">
        <v>-1</v>
      </c>
      <c r="AM56" s="2">
        <v>-1</v>
      </c>
      <c r="AN56" s="2">
        <v>15</v>
      </c>
      <c r="AO56" s="2">
        <v>-1</v>
      </c>
      <c r="AP56" s="2">
        <v>-2</v>
      </c>
      <c r="AQ56" s="2">
        <v>-4</v>
      </c>
      <c r="AR56" s="2">
        <v>-3</v>
      </c>
      <c r="AS56" s="2">
        <v>-6</v>
      </c>
      <c r="AU56" s="2">
        <v>-4</v>
      </c>
      <c r="AV56" s="2">
        <v>20</v>
      </c>
      <c r="AW56" s="2">
        <v>-1</v>
      </c>
      <c r="AY56" s="2">
        <v>-13</v>
      </c>
      <c r="BA56" s="2">
        <v>6</v>
      </c>
      <c r="BD56" s="2">
        <v>-4</v>
      </c>
      <c r="BE56" s="2">
        <v>10</v>
      </c>
      <c r="BG56" s="2">
        <v>-5</v>
      </c>
      <c r="BI56" s="2">
        <v>-4</v>
      </c>
      <c r="BJ56" s="2">
        <v>-2</v>
      </c>
      <c r="BL56" s="2">
        <v>12</v>
      </c>
      <c r="BM56" s="2">
        <v>-3</v>
      </c>
      <c r="BN56" s="2">
        <v>-3</v>
      </c>
      <c r="BO56" s="2">
        <v>-7</v>
      </c>
      <c r="BP56" s="2">
        <v>9</v>
      </c>
      <c r="BQ56" s="2">
        <v>-3</v>
      </c>
      <c r="BR56" s="2">
        <v>-2</v>
      </c>
      <c r="BS56" s="2">
        <v>5</v>
      </c>
    </row>
    <row r="57" spans="1:72" s="2" customFormat="1" x14ac:dyDescent="0.35">
      <c r="A57" s="2" t="s">
        <v>138</v>
      </c>
      <c r="B57" s="9">
        <f>+VLOOKUP(D57,[1]Sheet1!$A:$J,10,)</f>
        <v>1809.36</v>
      </c>
      <c r="C57" s="9">
        <f t="shared" si="2"/>
        <v>43424.639999999999</v>
      </c>
      <c r="D57" s="2" t="s">
        <v>2</v>
      </c>
      <c r="E57" s="2">
        <v>750</v>
      </c>
      <c r="F57" s="2" t="s">
        <v>64</v>
      </c>
      <c r="G57" s="2">
        <v>18</v>
      </c>
      <c r="H57" s="2" t="s">
        <v>41</v>
      </c>
      <c r="I57" s="3">
        <f t="shared" si="3"/>
        <v>24</v>
      </c>
      <c r="AE57" s="2">
        <v>-6</v>
      </c>
      <c r="AT57" s="2">
        <v>-3</v>
      </c>
      <c r="AX57" s="2">
        <v>6</v>
      </c>
      <c r="BC57" s="2">
        <v>-3</v>
      </c>
      <c r="BN57" s="2">
        <v>24</v>
      </c>
      <c r="BO57" s="2">
        <v>-6</v>
      </c>
      <c r="BQ57" s="2">
        <v>-6</v>
      </c>
    </row>
    <row r="58" spans="1:72" s="2" customFormat="1" x14ac:dyDescent="0.35">
      <c r="A58" s="2" t="s">
        <v>138</v>
      </c>
      <c r="B58" s="9">
        <f>+VLOOKUP(D58,[1]Sheet1!$A:$J,10,)</f>
        <v>12744</v>
      </c>
      <c r="C58" s="9">
        <f t="shared" si="2"/>
        <v>331344</v>
      </c>
      <c r="D58" s="2" t="s">
        <v>54</v>
      </c>
      <c r="E58" s="2">
        <v>350</v>
      </c>
      <c r="F58" s="2" t="s">
        <v>105</v>
      </c>
      <c r="G58" s="2">
        <v>21</v>
      </c>
      <c r="H58" s="2" t="s">
        <v>42</v>
      </c>
      <c r="I58" s="3">
        <f t="shared" si="3"/>
        <v>26</v>
      </c>
      <c r="J58" s="2">
        <v>-1</v>
      </c>
      <c r="K58" s="2">
        <v>-1</v>
      </c>
      <c r="M58" s="2">
        <v>5</v>
      </c>
      <c r="N58" s="2">
        <v>-1</v>
      </c>
      <c r="O58" s="2">
        <v>-2</v>
      </c>
      <c r="R58" s="2">
        <v>-3</v>
      </c>
      <c r="U58" s="2">
        <v>-2</v>
      </c>
      <c r="W58" s="2">
        <v>-1</v>
      </c>
      <c r="X58" s="2">
        <v>8</v>
      </c>
      <c r="Z58" s="2">
        <v>-2</v>
      </c>
      <c r="AA58" s="2">
        <v>-2</v>
      </c>
      <c r="AC58" s="2">
        <v>-2</v>
      </c>
      <c r="AD58" s="2">
        <v>-3</v>
      </c>
      <c r="AF58" s="2">
        <v>10</v>
      </c>
      <c r="AH58" s="2">
        <v>-2</v>
      </c>
      <c r="AI58" s="2">
        <v>-2</v>
      </c>
      <c r="AL58" s="2">
        <v>-4</v>
      </c>
      <c r="AN58" s="2">
        <v>7</v>
      </c>
      <c r="AO58" s="2">
        <v>-2</v>
      </c>
      <c r="AP58" s="2">
        <v>-1</v>
      </c>
      <c r="AQ58" s="2">
        <v>-3</v>
      </c>
      <c r="AS58" s="2">
        <v>-3</v>
      </c>
      <c r="AV58" s="2">
        <v>10</v>
      </c>
      <c r="AX58" s="2">
        <v>-2</v>
      </c>
      <c r="AY58" s="2">
        <v>-2</v>
      </c>
      <c r="BC58" s="2">
        <v>-1</v>
      </c>
      <c r="BD58" s="2">
        <v>-2</v>
      </c>
      <c r="BE58" s="2">
        <v>8</v>
      </c>
      <c r="BF58" s="2">
        <v>-3</v>
      </c>
      <c r="BJ58" s="2">
        <v>-1</v>
      </c>
      <c r="BL58" s="2">
        <v>5</v>
      </c>
      <c r="BM58" s="2">
        <v>-4</v>
      </c>
      <c r="BN58" s="2">
        <v>-4</v>
      </c>
      <c r="BO58" s="2">
        <v>6</v>
      </c>
      <c r="BP58" s="2">
        <v>-3</v>
      </c>
      <c r="BQ58" s="2">
        <v>4</v>
      </c>
      <c r="BS58" s="2">
        <v>1</v>
      </c>
    </row>
    <row r="59" spans="1:72" s="2" customFormat="1" x14ac:dyDescent="0.35">
      <c r="A59" s="2" t="s">
        <v>137</v>
      </c>
      <c r="B59" s="9">
        <v>614</v>
      </c>
      <c r="C59" s="9">
        <f t="shared" si="2"/>
        <v>18420</v>
      </c>
      <c r="D59" s="2" t="s">
        <v>43</v>
      </c>
      <c r="E59" s="2">
        <v>350</v>
      </c>
      <c r="F59" s="2" t="e">
        <v>#N/A</v>
      </c>
      <c r="G59" s="2">
        <v>18</v>
      </c>
      <c r="H59" s="2" t="s">
        <v>41</v>
      </c>
      <c r="I59" s="3">
        <f t="shared" si="3"/>
        <v>30</v>
      </c>
      <c r="W59" s="2">
        <v>-6</v>
      </c>
      <c r="AB59" s="2">
        <v>24</v>
      </c>
      <c r="AP59" s="2">
        <v>-12</v>
      </c>
      <c r="AY59" s="2">
        <v>-18</v>
      </c>
      <c r="BI59" s="2">
        <v>-1</v>
      </c>
      <c r="BJ59" s="2">
        <v>24</v>
      </c>
      <c r="BM59" s="2">
        <v>-23</v>
      </c>
      <c r="BN59" s="2">
        <v>24</v>
      </c>
    </row>
    <row r="60" spans="1:72" s="2" customFormat="1" x14ac:dyDescent="0.35">
      <c r="A60" s="2" t="s">
        <v>137</v>
      </c>
      <c r="B60" s="9">
        <v>1471</v>
      </c>
      <c r="C60" s="9">
        <f t="shared" si="2"/>
        <v>50014</v>
      </c>
      <c r="D60" s="2" t="s">
        <v>111</v>
      </c>
      <c r="E60" s="2">
        <v>1500</v>
      </c>
      <c r="F60" s="2" t="s">
        <v>112</v>
      </c>
      <c r="G60" s="2">
        <v>12</v>
      </c>
      <c r="H60" s="2" t="s">
        <v>41</v>
      </c>
      <c r="I60" s="3">
        <f t="shared" si="3"/>
        <v>34</v>
      </c>
      <c r="J60" s="2">
        <v>-12</v>
      </c>
      <c r="O60" s="2">
        <v>36</v>
      </c>
      <c r="T60" s="2">
        <v>-6</v>
      </c>
      <c r="U60" s="2">
        <v>-6</v>
      </c>
      <c r="AB60" s="2">
        <v>-6</v>
      </c>
      <c r="AE60" s="2">
        <v>-6</v>
      </c>
      <c r="AL60" s="2">
        <v>-6</v>
      </c>
      <c r="AP60" s="2">
        <v>-6</v>
      </c>
      <c r="AT60" s="2">
        <v>36</v>
      </c>
      <c r="AU60" s="2">
        <v>-6</v>
      </c>
      <c r="AW60" s="2">
        <v>-6</v>
      </c>
      <c r="AY60" s="2">
        <v>-6</v>
      </c>
      <c r="BG60" s="2">
        <v>-12</v>
      </c>
      <c r="BI60" s="2">
        <v>-6</v>
      </c>
      <c r="BJ60" s="2">
        <v>36</v>
      </c>
      <c r="BK60" s="2">
        <v>-6</v>
      </c>
      <c r="BM60" s="2">
        <v>-2</v>
      </c>
      <c r="BN60" s="2">
        <v>17</v>
      </c>
      <c r="BO60" s="2">
        <v>-12</v>
      </c>
      <c r="BQ60" s="2">
        <v>13</v>
      </c>
      <c r="BR60" s="2">
        <v>-12</v>
      </c>
    </row>
    <row r="61" spans="1:72" s="2" customFormat="1" x14ac:dyDescent="0.35">
      <c r="A61" s="2" t="s">
        <v>138</v>
      </c>
      <c r="B61" s="9">
        <f>+VLOOKUP(D61,[1]Sheet1!$A:$J,10,)</f>
        <v>3074.2</v>
      </c>
      <c r="C61" s="9">
        <f t="shared" si="2"/>
        <v>76855</v>
      </c>
      <c r="D61" s="2" t="s">
        <v>38</v>
      </c>
      <c r="E61" s="2">
        <v>750</v>
      </c>
      <c r="F61" s="2" t="s">
        <v>99</v>
      </c>
      <c r="G61" s="2">
        <v>20</v>
      </c>
      <c r="H61" s="2" t="s">
        <v>41</v>
      </c>
      <c r="I61" s="3">
        <f t="shared" si="3"/>
        <v>25</v>
      </c>
      <c r="K61" s="2">
        <v>5</v>
      </c>
    </row>
    <row r="62" spans="1:72" s="2" customFormat="1" x14ac:dyDescent="0.35">
      <c r="A62" s="2" t="s">
        <v>137</v>
      </c>
      <c r="B62" s="9">
        <v>614</v>
      </c>
      <c r="C62" s="9">
        <f t="shared" si="2"/>
        <v>22104</v>
      </c>
      <c r="D62" s="2" t="s">
        <v>124</v>
      </c>
      <c r="E62" s="2">
        <v>350</v>
      </c>
      <c r="F62" s="2" t="e">
        <v>#N/A</v>
      </c>
      <c r="G62" s="2">
        <v>0</v>
      </c>
      <c r="H62" s="2" t="s">
        <v>41</v>
      </c>
      <c r="I62" s="3">
        <f t="shared" si="3"/>
        <v>36</v>
      </c>
      <c r="O62" s="2">
        <v>48</v>
      </c>
      <c r="P62" s="2">
        <v>-12</v>
      </c>
      <c r="S62" s="2">
        <v>-6</v>
      </c>
      <c r="W62" s="2">
        <v>-6</v>
      </c>
      <c r="Z62" s="2">
        <v>-12</v>
      </c>
      <c r="AB62" s="2">
        <v>24</v>
      </c>
      <c r="AP62" s="2">
        <v>-12</v>
      </c>
      <c r="AY62" s="2">
        <v>-18</v>
      </c>
      <c r="BJ62" s="2">
        <v>24</v>
      </c>
      <c r="BM62" s="2">
        <v>-24</v>
      </c>
      <c r="BN62" s="2">
        <v>30</v>
      </c>
      <c r="BO62" s="2">
        <v>-24</v>
      </c>
      <c r="BQ62" s="2">
        <v>24</v>
      </c>
    </row>
    <row r="63" spans="1:72" s="2" customFormat="1" x14ac:dyDescent="0.35">
      <c r="A63" s="2" t="s">
        <v>138</v>
      </c>
      <c r="B63" s="9">
        <f>+VLOOKUP(D63,[1]Sheet1!$A:$J,10,)</f>
        <v>2247</v>
      </c>
      <c r="C63" s="9">
        <f t="shared" si="2"/>
        <v>62916</v>
      </c>
      <c r="D63" s="2" t="s">
        <v>55</v>
      </c>
      <c r="E63" s="2">
        <v>1600</v>
      </c>
      <c r="F63" s="2" t="s">
        <v>106</v>
      </c>
      <c r="G63" s="2">
        <v>25</v>
      </c>
      <c r="H63" s="2" t="s">
        <v>154</v>
      </c>
      <c r="I63" s="3">
        <f t="shared" si="3"/>
        <v>28</v>
      </c>
      <c r="U63" s="2">
        <v>-3</v>
      </c>
      <c r="AF63" s="2">
        <v>10</v>
      </c>
      <c r="AQ63" s="2">
        <v>-1</v>
      </c>
      <c r="AR63" s="2">
        <v>-3</v>
      </c>
      <c r="AS63" s="2">
        <v>-2</v>
      </c>
      <c r="AV63" s="2">
        <v>5</v>
      </c>
      <c r="BN63" s="2">
        <v>-5</v>
      </c>
      <c r="BO63" s="2">
        <v>-3</v>
      </c>
      <c r="BQ63" s="2">
        <v>5</v>
      </c>
    </row>
    <row r="64" spans="1:72" s="2" customFormat="1" x14ac:dyDescent="0.35">
      <c r="A64" s="2" t="s">
        <v>138</v>
      </c>
      <c r="B64" s="9">
        <f>+VLOOKUP(D64,[1]Sheet1!$A:$J,10,)</f>
        <v>2493</v>
      </c>
      <c r="C64" s="9">
        <f t="shared" si="2"/>
        <v>74790</v>
      </c>
      <c r="D64" s="2" t="s">
        <v>31</v>
      </c>
      <c r="E64" s="2">
        <v>750</v>
      </c>
      <c r="F64" s="2" t="s">
        <v>93</v>
      </c>
      <c r="G64" s="2">
        <v>12</v>
      </c>
      <c r="H64" s="2" t="s">
        <v>41</v>
      </c>
      <c r="I64" s="3">
        <f t="shared" si="3"/>
        <v>30</v>
      </c>
      <c r="Q64" s="2">
        <v>6</v>
      </c>
      <c r="X64" s="2">
        <v>6</v>
      </c>
      <c r="Z64" s="2">
        <v>-6</v>
      </c>
      <c r="AI64" s="2">
        <v>-6</v>
      </c>
      <c r="AK64" s="2">
        <v>6</v>
      </c>
      <c r="AM64" s="2">
        <v>-6</v>
      </c>
      <c r="AN64" s="2">
        <v>6</v>
      </c>
      <c r="AP64" s="2">
        <v>-6</v>
      </c>
      <c r="AR64" s="2">
        <v>18</v>
      </c>
      <c r="AT64" s="2">
        <v>-12</v>
      </c>
      <c r="AV64" s="2">
        <v>18</v>
      </c>
      <c r="BC64" s="2">
        <v>-6</v>
      </c>
      <c r="BM64" s="2">
        <v>-6</v>
      </c>
      <c r="BN64" s="2">
        <v>-6</v>
      </c>
      <c r="BO64" s="2">
        <v>-6</v>
      </c>
      <c r="BP64" s="2">
        <v>6</v>
      </c>
      <c r="BQ64" s="2">
        <v>12</v>
      </c>
    </row>
    <row r="65" spans="1:73" s="2" customFormat="1" x14ac:dyDescent="0.35">
      <c r="A65" s="2" t="s">
        <v>138</v>
      </c>
      <c r="B65" s="9">
        <v>4839</v>
      </c>
      <c r="C65" s="9">
        <f t="shared" si="2"/>
        <v>145170</v>
      </c>
      <c r="D65" s="2" t="s">
        <v>176</v>
      </c>
      <c r="E65" s="2">
        <v>750</v>
      </c>
      <c r="F65" s="2" t="s">
        <v>177</v>
      </c>
      <c r="H65" s="2" t="s">
        <v>41</v>
      </c>
      <c r="I65" s="3">
        <f t="shared" si="3"/>
        <v>30</v>
      </c>
      <c r="BL65" s="2">
        <v>36</v>
      </c>
      <c r="BM65" s="2">
        <v>-12</v>
      </c>
      <c r="BN65" s="2">
        <v>6</v>
      </c>
    </row>
    <row r="66" spans="1:73" s="2" customFormat="1" x14ac:dyDescent="0.35">
      <c r="A66" s="2" t="s">
        <v>138</v>
      </c>
      <c r="B66" s="9">
        <f>+VLOOKUP(D66,[1]Sheet1!$A:$J,10,)</f>
        <v>865.56756756756761</v>
      </c>
      <c r="C66" s="9">
        <f t="shared" ref="C66:C79" si="4">+B66*I66</f>
        <v>23370.324324324327</v>
      </c>
      <c r="D66" s="2" t="s">
        <v>120</v>
      </c>
      <c r="E66" s="2">
        <v>1000</v>
      </c>
      <c r="F66" s="2" t="s">
        <v>121</v>
      </c>
      <c r="G66" s="2">
        <v>25</v>
      </c>
      <c r="H66" s="2" t="s">
        <v>41</v>
      </c>
      <c r="I66" s="3">
        <f t="shared" ref="I66:I79" si="5">SUM(J66:XFD66,G66)</f>
        <v>27</v>
      </c>
      <c r="L66" s="2">
        <v>-4</v>
      </c>
      <c r="O66" s="2">
        <v>-1</v>
      </c>
      <c r="S66" s="2">
        <v>-3</v>
      </c>
      <c r="U66" s="2">
        <v>-11</v>
      </c>
      <c r="V66" s="2">
        <v>12</v>
      </c>
      <c r="W66" s="2">
        <v>-3</v>
      </c>
      <c r="X66" s="2">
        <v>-2</v>
      </c>
      <c r="AC66" s="2">
        <v>-6</v>
      </c>
      <c r="AD66" s="2">
        <v>8</v>
      </c>
      <c r="AE66" s="2">
        <v>-6</v>
      </c>
      <c r="AF66" s="2">
        <v>24</v>
      </c>
      <c r="AG66" s="2">
        <v>-8</v>
      </c>
      <c r="AH66" s="2">
        <v>-3</v>
      </c>
      <c r="AI66" s="2">
        <v>-1</v>
      </c>
      <c r="AN66" s="2">
        <v>12</v>
      </c>
      <c r="AO66" s="2">
        <v>-3</v>
      </c>
      <c r="AQ66" s="2">
        <v>-2</v>
      </c>
      <c r="AU66" s="2">
        <v>-12</v>
      </c>
      <c r="AV66" s="2">
        <v>24</v>
      </c>
      <c r="AW66" s="2">
        <v>-6</v>
      </c>
      <c r="BD66" s="2">
        <v>-1</v>
      </c>
      <c r="BE66" s="2">
        <v>-12</v>
      </c>
      <c r="BG66" s="2">
        <v>-1</v>
      </c>
      <c r="BH66" s="2">
        <v>24</v>
      </c>
      <c r="BK66" s="2">
        <v>-4</v>
      </c>
      <c r="BM66" s="2">
        <v>-11</v>
      </c>
      <c r="BN66" s="2">
        <v>5</v>
      </c>
      <c r="BO66" s="2">
        <v>-3</v>
      </c>
      <c r="BP66" s="2">
        <v>-2</v>
      </c>
      <c r="BQ66" s="2">
        <v>-7</v>
      </c>
      <c r="BR66" s="2">
        <v>5</v>
      </c>
    </row>
    <row r="67" spans="1:73" s="2" customFormat="1" x14ac:dyDescent="0.35">
      <c r="A67" s="2" t="s">
        <v>138</v>
      </c>
      <c r="B67" s="9">
        <f>+VLOOKUP(D67,[1]Sheet1!$A:$J,10,)</f>
        <v>2506.8815789473683</v>
      </c>
      <c r="C67" s="9">
        <f t="shared" si="4"/>
        <v>75206.447368421053</v>
      </c>
      <c r="D67" s="2" t="s">
        <v>10</v>
      </c>
      <c r="E67" s="2">
        <v>750</v>
      </c>
      <c r="F67" s="2" t="s">
        <v>72</v>
      </c>
      <c r="G67" s="2">
        <v>54</v>
      </c>
      <c r="H67" s="2" t="s">
        <v>41</v>
      </c>
      <c r="I67" s="3">
        <f t="shared" si="5"/>
        <v>30</v>
      </c>
      <c r="J67" s="2">
        <v>-6</v>
      </c>
      <c r="M67" s="2">
        <v>-12</v>
      </c>
      <c r="U67" s="2">
        <v>-6</v>
      </c>
      <c r="X67" s="2">
        <v>12</v>
      </c>
      <c r="Z67" s="2">
        <v>-6</v>
      </c>
      <c r="AD67" s="2">
        <v>18</v>
      </c>
      <c r="AE67" s="2">
        <v>-12</v>
      </c>
      <c r="AF67" s="2">
        <v>6</v>
      </c>
      <c r="AM67" s="2">
        <v>-6</v>
      </c>
      <c r="AP67" s="2">
        <v>-6</v>
      </c>
      <c r="AT67" s="2">
        <v>-6</v>
      </c>
      <c r="AU67" s="2">
        <v>-6</v>
      </c>
      <c r="AV67" s="2">
        <v>6</v>
      </c>
      <c r="AW67" s="2">
        <v>-12</v>
      </c>
      <c r="AX67" s="2">
        <v>30</v>
      </c>
      <c r="AY67" s="2">
        <v>-6</v>
      </c>
      <c r="AZ67" s="2">
        <v>-12</v>
      </c>
      <c r="BA67" s="2">
        <v>6</v>
      </c>
      <c r="BC67" s="2">
        <v>-6</v>
      </c>
      <c r="BE67" s="2">
        <v>12</v>
      </c>
      <c r="BF67" s="2">
        <v>-6</v>
      </c>
      <c r="BG67" s="2">
        <v>-12</v>
      </c>
      <c r="BL67" s="2">
        <v>18</v>
      </c>
      <c r="BM67" s="2">
        <v>-6</v>
      </c>
      <c r="BN67" s="2">
        <v>-6</v>
      </c>
      <c r="BO67" s="2">
        <v>-18</v>
      </c>
      <c r="BP67" s="2">
        <v>48</v>
      </c>
      <c r="BQ67" s="2">
        <v>-12</v>
      </c>
      <c r="BR67" s="2">
        <v>-18</v>
      </c>
    </row>
    <row r="68" spans="1:73" s="2" customFormat="1" x14ac:dyDescent="0.35">
      <c r="A68" s="2" t="s">
        <v>138</v>
      </c>
      <c r="B68" s="9">
        <v>2630</v>
      </c>
      <c r="C68" s="9">
        <f t="shared" si="4"/>
        <v>78900</v>
      </c>
      <c r="D68" s="2" t="s">
        <v>37</v>
      </c>
      <c r="E68" s="2">
        <v>750</v>
      </c>
      <c r="F68" s="2" t="s">
        <v>191</v>
      </c>
      <c r="H68" s="2" t="s">
        <v>41</v>
      </c>
      <c r="I68" s="3">
        <f t="shared" si="5"/>
        <v>30</v>
      </c>
      <c r="BS68" s="2">
        <v>30</v>
      </c>
    </row>
    <row r="69" spans="1:73" s="2" customFormat="1" x14ac:dyDescent="0.35">
      <c r="A69" s="2" t="s">
        <v>137</v>
      </c>
      <c r="B69" s="9">
        <v>517</v>
      </c>
      <c r="C69" s="9">
        <f t="shared" si="4"/>
        <v>15510</v>
      </c>
      <c r="D69" s="2" t="s">
        <v>110</v>
      </c>
      <c r="E69" s="2">
        <v>350</v>
      </c>
      <c r="F69" s="2" t="e">
        <v>#N/A</v>
      </c>
      <c r="G69" s="2">
        <v>0</v>
      </c>
      <c r="H69" s="2" t="s">
        <v>41</v>
      </c>
      <c r="I69" s="3">
        <f t="shared" si="5"/>
        <v>30</v>
      </c>
      <c r="O69" s="2">
        <v>48</v>
      </c>
      <c r="P69" s="2">
        <v>-12</v>
      </c>
      <c r="S69" s="2">
        <v>-6</v>
      </c>
      <c r="W69" s="2">
        <v>-6</v>
      </c>
      <c r="AB69" s="2">
        <v>24</v>
      </c>
      <c r="AC69" s="2">
        <v>-6</v>
      </c>
      <c r="AR69" s="2">
        <v>-12</v>
      </c>
      <c r="AT69" s="2">
        <v>24</v>
      </c>
      <c r="BM69" s="2">
        <v>-17</v>
      </c>
      <c r="BN69" s="2">
        <v>23</v>
      </c>
      <c r="BO69" s="2">
        <v>-18</v>
      </c>
      <c r="BP69" s="2">
        <v>-12</v>
      </c>
    </row>
    <row r="70" spans="1:73" s="2" customFormat="1" x14ac:dyDescent="0.35">
      <c r="A70" s="2" t="s">
        <v>138</v>
      </c>
      <c r="B70" s="9">
        <f>+VLOOKUP(D70,[1]Sheet1!$A:$J,10,)</f>
        <v>4409.652173913043</v>
      </c>
      <c r="C70" s="9">
        <f t="shared" si="4"/>
        <v>105831.65217391303</v>
      </c>
      <c r="D70" s="2" t="s">
        <v>20</v>
      </c>
      <c r="E70" s="2">
        <v>750</v>
      </c>
      <c r="F70" s="2" t="s">
        <v>82</v>
      </c>
      <c r="G70" s="2">
        <v>18</v>
      </c>
      <c r="H70" s="2" t="s">
        <v>41</v>
      </c>
      <c r="I70" s="3">
        <f t="shared" si="5"/>
        <v>24</v>
      </c>
      <c r="J70" s="2">
        <v>-6</v>
      </c>
      <c r="K70" s="2">
        <v>-6</v>
      </c>
      <c r="M70" s="2">
        <v>18</v>
      </c>
      <c r="R70" s="2">
        <v>-6</v>
      </c>
      <c r="S70" s="2">
        <v>-6</v>
      </c>
      <c r="U70" s="2">
        <v>-6</v>
      </c>
      <c r="V70" s="2">
        <v>18</v>
      </c>
      <c r="X70" s="2">
        <v>-6</v>
      </c>
      <c r="Z70" s="2">
        <v>-6</v>
      </c>
      <c r="AC70" s="2">
        <v>-6</v>
      </c>
      <c r="AD70" s="2">
        <v>12</v>
      </c>
      <c r="AE70" s="2">
        <v>-6</v>
      </c>
      <c r="AF70" s="2">
        <v>6</v>
      </c>
      <c r="AH70" s="2">
        <v>-6</v>
      </c>
      <c r="AI70" s="2">
        <v>-6</v>
      </c>
      <c r="AK70" s="2">
        <v>18</v>
      </c>
      <c r="AM70" s="2">
        <v>-6</v>
      </c>
      <c r="AP70" s="2">
        <v>-6</v>
      </c>
      <c r="AQ70" s="2">
        <v>-12</v>
      </c>
      <c r="AR70" s="2">
        <v>24</v>
      </c>
      <c r="AT70" s="2">
        <v>-6</v>
      </c>
      <c r="AV70" s="2">
        <v>6</v>
      </c>
      <c r="AW70" s="2">
        <v>-6</v>
      </c>
      <c r="AX70" s="2">
        <v>12</v>
      </c>
      <c r="AZ70" s="2">
        <v>-6</v>
      </c>
      <c r="BC70" s="2">
        <v>-6</v>
      </c>
      <c r="BE70" s="2">
        <v>12</v>
      </c>
      <c r="BH70" s="2">
        <v>12</v>
      </c>
      <c r="BI70" s="2">
        <v>-6</v>
      </c>
      <c r="BJ70" s="2">
        <v>-6</v>
      </c>
      <c r="BK70" s="2">
        <v>-6</v>
      </c>
      <c r="BL70" s="2">
        <v>12</v>
      </c>
      <c r="BM70" s="2">
        <v>-6</v>
      </c>
      <c r="BN70" s="2">
        <v>-6</v>
      </c>
      <c r="BP70" s="2">
        <v>12</v>
      </c>
      <c r="BQ70" s="2">
        <v>6</v>
      </c>
      <c r="BR70" s="2">
        <v>-6</v>
      </c>
      <c r="BT70" s="2">
        <v>-12</v>
      </c>
    </row>
    <row r="71" spans="1:73" s="2" customFormat="1" x14ac:dyDescent="0.35">
      <c r="A71" s="2" t="s">
        <v>137</v>
      </c>
      <c r="B71" s="9">
        <v>517</v>
      </c>
      <c r="C71" s="9">
        <f t="shared" si="4"/>
        <v>21714</v>
      </c>
      <c r="D71" s="2" t="s">
        <v>45</v>
      </c>
      <c r="E71" s="2">
        <v>350</v>
      </c>
      <c r="F71" s="2" t="e">
        <v>#N/A</v>
      </c>
      <c r="G71" s="2">
        <v>6</v>
      </c>
      <c r="H71" s="2" t="s">
        <v>41</v>
      </c>
      <c r="I71" s="3">
        <f t="shared" si="5"/>
        <v>42</v>
      </c>
      <c r="J71" s="2">
        <v>-6</v>
      </c>
      <c r="O71" s="2">
        <v>48</v>
      </c>
      <c r="W71" s="2">
        <v>-6</v>
      </c>
      <c r="AP71" s="2">
        <v>-6</v>
      </c>
      <c r="AT71" s="2">
        <v>24</v>
      </c>
      <c r="BM71" s="2">
        <v>-18</v>
      </c>
    </row>
    <row r="72" spans="1:73" s="2" customFormat="1" x14ac:dyDescent="0.35">
      <c r="A72" s="2" t="s">
        <v>138</v>
      </c>
      <c r="B72" s="9">
        <f>+VLOOKUP(D72,[1]Sheet1!$A:$J,10,)</f>
        <v>573</v>
      </c>
      <c r="C72" s="9">
        <f t="shared" si="4"/>
        <v>48132</v>
      </c>
      <c r="D72" s="2" t="s">
        <v>132</v>
      </c>
      <c r="E72" s="2">
        <v>350</v>
      </c>
      <c r="F72" s="2" t="s">
        <v>133</v>
      </c>
      <c r="G72" s="2">
        <v>54</v>
      </c>
      <c r="H72" s="2" t="s">
        <v>41</v>
      </c>
      <c r="I72" s="3">
        <f t="shared" si="5"/>
        <v>84</v>
      </c>
      <c r="J72" s="2">
        <v>-12</v>
      </c>
      <c r="K72" s="2">
        <v>-12</v>
      </c>
      <c r="M72" s="2">
        <v>24</v>
      </c>
      <c r="R72" s="2">
        <v>-18</v>
      </c>
      <c r="T72" s="2">
        <v>-24</v>
      </c>
      <c r="U72" s="2">
        <v>-12</v>
      </c>
      <c r="W72" s="2">
        <v>-12</v>
      </c>
      <c r="X72" s="2">
        <v>72</v>
      </c>
      <c r="Y72" s="2">
        <v>-24</v>
      </c>
      <c r="Z72" s="2">
        <v>-18</v>
      </c>
      <c r="AA72" s="2">
        <v>-18</v>
      </c>
      <c r="AB72" s="2">
        <v>48</v>
      </c>
      <c r="AC72" s="2">
        <v>-12</v>
      </c>
      <c r="AD72" s="2">
        <v>96</v>
      </c>
      <c r="AH72" s="2">
        <v>-30</v>
      </c>
      <c r="AI72" s="2">
        <v>-42</v>
      </c>
      <c r="AK72" s="2">
        <v>48</v>
      </c>
      <c r="AQ72" s="2">
        <v>-24</v>
      </c>
      <c r="AR72" s="2">
        <v>-48</v>
      </c>
      <c r="AV72" s="2">
        <v>108</v>
      </c>
      <c r="AW72" s="2">
        <v>-12</v>
      </c>
      <c r="AY72" s="2">
        <v>-18</v>
      </c>
      <c r="BD72" s="2">
        <v>-18</v>
      </c>
      <c r="BE72" s="2">
        <v>54</v>
      </c>
      <c r="BJ72" s="2">
        <v>-24</v>
      </c>
      <c r="BM72" s="2">
        <v>-102</v>
      </c>
      <c r="BN72" s="2">
        <v>-18</v>
      </c>
      <c r="BO72" s="2">
        <v>-6</v>
      </c>
      <c r="BP72" s="2">
        <v>72</v>
      </c>
      <c r="BQ72" s="2">
        <v>24</v>
      </c>
      <c r="BT72" s="2">
        <v>-12</v>
      </c>
    </row>
    <row r="73" spans="1:73" s="2" customFormat="1" x14ac:dyDescent="0.35">
      <c r="A73" s="2" t="s">
        <v>138</v>
      </c>
      <c r="B73" s="9">
        <f>+VLOOKUP(D73,[1]Sheet1!$A:$J,10,)</f>
        <v>540</v>
      </c>
      <c r="C73" s="9">
        <f t="shared" si="4"/>
        <v>64800</v>
      </c>
      <c r="D73" s="2" t="s">
        <v>57</v>
      </c>
      <c r="E73" s="2">
        <v>350</v>
      </c>
      <c r="F73" s="2" t="s">
        <v>108</v>
      </c>
      <c r="G73" s="2">
        <v>48</v>
      </c>
      <c r="H73" s="2" t="s">
        <v>41</v>
      </c>
      <c r="I73" s="3">
        <f t="shared" si="5"/>
        <v>120</v>
      </c>
      <c r="J73" s="2">
        <v>-18</v>
      </c>
      <c r="K73" s="2">
        <v>-12</v>
      </c>
      <c r="U73" s="2">
        <v>-18</v>
      </c>
      <c r="W73" s="2">
        <v>-12</v>
      </c>
      <c r="X73" s="2">
        <v>48</v>
      </c>
      <c r="AA73" s="2">
        <v>-18</v>
      </c>
      <c r="AC73" s="2">
        <v>-6</v>
      </c>
      <c r="AD73" s="2">
        <v>72</v>
      </c>
      <c r="AI73" s="2">
        <v>-24</v>
      </c>
      <c r="AK73" s="2">
        <v>48</v>
      </c>
      <c r="AP73" s="2">
        <v>-12</v>
      </c>
      <c r="AR73" s="2">
        <v>-24</v>
      </c>
      <c r="AV73" s="2">
        <v>96</v>
      </c>
      <c r="AW73" s="2">
        <v>-24</v>
      </c>
      <c r="AY73" s="2">
        <v>-18</v>
      </c>
      <c r="BE73" s="2">
        <v>24</v>
      </c>
      <c r="BJ73" s="2">
        <v>-12</v>
      </c>
      <c r="BM73" s="2">
        <v>-108</v>
      </c>
      <c r="BO73" s="2">
        <v>90</v>
      </c>
      <c r="BP73" s="2">
        <v>-12</v>
      </c>
      <c r="BQ73" s="2">
        <v>24</v>
      </c>
      <c r="BT73" s="2">
        <v>-12</v>
      </c>
    </row>
    <row r="74" spans="1:73" s="2" customFormat="1" x14ac:dyDescent="0.35">
      <c r="A74" s="2" t="s">
        <v>138</v>
      </c>
      <c r="B74" s="9">
        <f>+VLOOKUP(D74,[1]Sheet1!$A:$J,10,)</f>
        <v>1434.8677685950413</v>
      </c>
      <c r="C74" s="9">
        <f t="shared" si="4"/>
        <v>47350.63636363636</v>
      </c>
      <c r="D74" s="2" t="s">
        <v>58</v>
      </c>
      <c r="E74" s="2">
        <v>1500</v>
      </c>
      <c r="F74" s="2" t="s">
        <v>109</v>
      </c>
      <c r="G74" s="2">
        <v>143</v>
      </c>
      <c r="H74" s="2" t="s">
        <v>41</v>
      </c>
      <c r="I74" s="3">
        <f t="shared" si="5"/>
        <v>33</v>
      </c>
      <c r="BE74" s="2">
        <v>60</v>
      </c>
      <c r="BM74" s="2">
        <v>-163</v>
      </c>
      <c r="BN74" s="2">
        <v>-7</v>
      </c>
      <c r="BR74" s="2">
        <v>-24</v>
      </c>
      <c r="BU74" s="2">
        <v>24</v>
      </c>
    </row>
    <row r="75" spans="1:73" s="2" customFormat="1" x14ac:dyDescent="0.35">
      <c r="A75" s="2" t="s">
        <v>138</v>
      </c>
      <c r="B75" s="9"/>
      <c r="C75" s="9">
        <f t="shared" si="4"/>
        <v>0</v>
      </c>
      <c r="D75" s="2" t="s">
        <v>174</v>
      </c>
      <c r="E75" s="2">
        <v>1000</v>
      </c>
      <c r="F75" s="2" t="s">
        <v>183</v>
      </c>
      <c r="H75" s="2" t="s">
        <v>41</v>
      </c>
      <c r="I75" s="3">
        <f t="shared" si="5"/>
        <v>1</v>
      </c>
      <c r="BN75" s="2">
        <v>1</v>
      </c>
      <c r="BO75" s="2">
        <v>-1</v>
      </c>
      <c r="BR75" s="2">
        <v>1</v>
      </c>
    </row>
    <row r="76" spans="1:73" s="2" customFormat="1" x14ac:dyDescent="0.35">
      <c r="A76" s="2" t="s">
        <v>138</v>
      </c>
      <c r="B76" s="9">
        <v>1654</v>
      </c>
      <c r="C76" s="9">
        <f t="shared" si="4"/>
        <v>0</v>
      </c>
      <c r="D76" s="2" t="s">
        <v>182</v>
      </c>
      <c r="E76" s="2">
        <v>2000</v>
      </c>
      <c r="F76" s="2" t="s">
        <v>184</v>
      </c>
      <c r="H76" s="2" t="s">
        <v>41</v>
      </c>
      <c r="I76" s="3">
        <f t="shared" si="5"/>
        <v>0</v>
      </c>
      <c r="BN76" s="2">
        <v>72</v>
      </c>
      <c r="BO76" s="2">
        <v>-72</v>
      </c>
    </row>
    <row r="77" spans="1:73" s="2" customFormat="1" x14ac:dyDescent="0.35">
      <c r="A77" s="2" t="s">
        <v>138</v>
      </c>
      <c r="B77" s="9">
        <v>5286</v>
      </c>
      <c r="C77" s="9">
        <f t="shared" si="4"/>
        <v>63432</v>
      </c>
      <c r="D77" s="2" t="s">
        <v>189</v>
      </c>
      <c r="E77" s="2">
        <v>1500</v>
      </c>
      <c r="F77" s="2" t="s">
        <v>190</v>
      </c>
      <c r="H77" s="2" t="s">
        <v>41</v>
      </c>
      <c r="I77" s="3">
        <f t="shared" si="5"/>
        <v>12</v>
      </c>
      <c r="BQ77" s="2">
        <v>6</v>
      </c>
      <c r="BS77" s="2">
        <v>6</v>
      </c>
    </row>
    <row r="78" spans="1:73" s="2" customFormat="1" x14ac:dyDescent="0.35">
      <c r="A78" s="2" t="s">
        <v>138</v>
      </c>
      <c r="B78" s="9">
        <f>+VLOOKUP(D78,[1]Sheet1!$A:$J,10,)</f>
        <v>1672.7466666666667</v>
      </c>
      <c r="C78" s="9">
        <f t="shared" si="4"/>
        <v>100364.8</v>
      </c>
      <c r="D78" s="2" t="s">
        <v>0</v>
      </c>
      <c r="E78" s="2">
        <v>750</v>
      </c>
      <c r="F78" s="2" t="s">
        <v>62</v>
      </c>
      <c r="G78" s="2">
        <v>72</v>
      </c>
      <c r="H78" s="2" t="s">
        <v>41</v>
      </c>
      <c r="I78" s="3">
        <f t="shared" si="5"/>
        <v>60</v>
      </c>
      <c r="AE78" s="2">
        <v>-12</v>
      </c>
      <c r="AZ78" s="2">
        <v>-6</v>
      </c>
      <c r="BN78" s="2">
        <v>-18</v>
      </c>
      <c r="BQ78" s="2">
        <v>30</v>
      </c>
      <c r="BR78" s="2">
        <v>-6</v>
      </c>
    </row>
    <row r="79" spans="1:73" x14ac:dyDescent="0.35">
      <c r="A79" s="17" t="s">
        <v>138</v>
      </c>
      <c r="B79" s="10">
        <v>12010</v>
      </c>
      <c r="C79" s="9">
        <f t="shared" si="4"/>
        <v>12010</v>
      </c>
      <c r="D79" s="17" t="s">
        <v>192</v>
      </c>
      <c r="E79" s="17">
        <v>750</v>
      </c>
      <c r="F79" s="17" t="s">
        <v>194</v>
      </c>
      <c r="H79" s="17" t="s">
        <v>41</v>
      </c>
      <c r="I79" s="3">
        <f t="shared" si="5"/>
        <v>1</v>
      </c>
      <c r="BU79">
        <v>1</v>
      </c>
    </row>
    <row r="101" spans="6:6" x14ac:dyDescent="0.35">
      <c r="F101" s="12"/>
    </row>
  </sheetData>
  <conditionalFormatting sqref="D1:D1048576 F1:F1048576">
    <cfRule type="duplicateValues" dxfId="20" priority="2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0A8FF-A0C1-4909-8CB7-D614FD1F3B81}">
  <dimension ref="B2:I22"/>
  <sheetViews>
    <sheetView workbookViewId="0">
      <selection activeCell="D7" sqref="D7"/>
    </sheetView>
  </sheetViews>
  <sheetFormatPr baseColWidth="10" defaultRowHeight="14.5" x14ac:dyDescent="0.35"/>
  <cols>
    <col min="2" max="2" width="14.08984375" bestFit="1" customWidth="1"/>
    <col min="3" max="3" width="3.81640625" bestFit="1" customWidth="1"/>
    <col min="4" max="4" width="40.26953125" bestFit="1" customWidth="1"/>
    <col min="5" max="5" width="6.453125" bestFit="1" customWidth="1"/>
    <col min="6" max="6" width="6.81640625" bestFit="1" customWidth="1"/>
    <col min="7" max="7" width="28.453125" bestFit="1" customWidth="1"/>
    <col min="8" max="8" width="15.26953125" bestFit="1" customWidth="1"/>
    <col min="9" max="9" width="23.1796875" bestFit="1" customWidth="1"/>
  </cols>
  <sheetData>
    <row r="2" spans="2:9" x14ac:dyDescent="0.35">
      <c r="B2" s="6" t="s">
        <v>46</v>
      </c>
      <c r="C2" s="6" t="s">
        <v>125</v>
      </c>
      <c r="D2" s="6" t="s">
        <v>47</v>
      </c>
      <c r="E2" s="5" t="s">
        <v>115</v>
      </c>
      <c r="F2" s="6" t="s">
        <v>170</v>
      </c>
      <c r="G2" s="6" t="s">
        <v>171</v>
      </c>
      <c r="H2" s="6" t="s">
        <v>172</v>
      </c>
      <c r="I2" s="6" t="s">
        <v>173</v>
      </c>
    </row>
    <row r="3" spans="2:9" x14ac:dyDescent="0.35">
      <c r="B3" s="11" t="s">
        <v>37</v>
      </c>
      <c r="C3" s="11">
        <v>750</v>
      </c>
      <c r="D3" s="11" t="s">
        <v>135</v>
      </c>
      <c r="E3" s="11">
        <v>0</v>
      </c>
      <c r="F3" s="11">
        <v>-2</v>
      </c>
      <c r="G3" s="14" t="s">
        <v>159</v>
      </c>
      <c r="H3" s="2">
        <v>-9</v>
      </c>
      <c r="I3" s="16">
        <v>46278</v>
      </c>
    </row>
    <row r="4" spans="2:9" x14ac:dyDescent="0.35">
      <c r="B4" s="11" t="s">
        <v>147</v>
      </c>
      <c r="C4" s="11">
        <v>750</v>
      </c>
      <c r="D4" s="11" t="s">
        <v>148</v>
      </c>
      <c r="E4" s="11">
        <v>8</v>
      </c>
      <c r="F4" s="11"/>
      <c r="G4" s="14"/>
      <c r="H4" s="2"/>
      <c r="I4" s="2"/>
    </row>
    <row r="5" spans="2:9" x14ac:dyDescent="0.35">
      <c r="B5" s="11" t="s">
        <v>143</v>
      </c>
      <c r="C5" s="11">
        <v>750</v>
      </c>
      <c r="D5" s="11" t="s">
        <v>144</v>
      </c>
      <c r="E5" s="11">
        <v>7</v>
      </c>
      <c r="F5" s="11"/>
      <c r="G5" s="14"/>
      <c r="H5" s="2"/>
      <c r="I5" s="2"/>
    </row>
    <row r="6" spans="2:9" x14ac:dyDescent="0.35">
      <c r="B6" s="11" t="s">
        <v>34</v>
      </c>
      <c r="C6" s="11">
        <v>750</v>
      </c>
      <c r="D6" s="11" t="s">
        <v>96</v>
      </c>
      <c r="E6" s="11">
        <v>6</v>
      </c>
      <c r="F6" s="11">
        <v>-1</v>
      </c>
      <c r="G6" s="14" t="s">
        <v>159</v>
      </c>
      <c r="H6" s="2" t="s">
        <v>167</v>
      </c>
      <c r="I6" s="2"/>
    </row>
    <row r="7" spans="2:9" x14ac:dyDescent="0.35">
      <c r="B7" s="11" t="s">
        <v>17</v>
      </c>
      <c r="C7" s="11">
        <v>750</v>
      </c>
      <c r="D7" s="11" t="s">
        <v>134</v>
      </c>
      <c r="E7" s="11">
        <v>6</v>
      </c>
      <c r="F7" s="11"/>
      <c r="G7" s="14"/>
      <c r="H7" s="2"/>
      <c r="I7" s="2"/>
    </row>
    <row r="8" spans="2:9" x14ac:dyDescent="0.35">
      <c r="B8" s="11"/>
      <c r="C8" s="11">
        <v>750</v>
      </c>
      <c r="D8" s="11" t="s">
        <v>141</v>
      </c>
      <c r="E8" s="11">
        <v>4</v>
      </c>
      <c r="F8" s="11"/>
      <c r="G8" s="14"/>
      <c r="H8" s="2"/>
      <c r="I8" s="2"/>
    </row>
    <row r="9" spans="2:9" x14ac:dyDescent="0.35">
      <c r="B9" s="11"/>
      <c r="C9" s="11">
        <v>750</v>
      </c>
      <c r="D9" s="11" t="s">
        <v>142</v>
      </c>
      <c r="E9" s="11">
        <v>4</v>
      </c>
      <c r="F9" s="11">
        <v>-3</v>
      </c>
      <c r="G9" s="14" t="s">
        <v>159</v>
      </c>
      <c r="H9" s="2"/>
      <c r="I9" s="2"/>
    </row>
    <row r="10" spans="2:9" x14ac:dyDescent="0.35">
      <c r="B10" s="11" t="s">
        <v>7</v>
      </c>
      <c r="C10" s="11">
        <v>750</v>
      </c>
      <c r="D10" s="11" t="s">
        <v>69</v>
      </c>
      <c r="E10" s="11">
        <v>2</v>
      </c>
      <c r="F10" s="11"/>
      <c r="G10" s="14"/>
      <c r="H10" s="2"/>
      <c r="I10" s="2"/>
    </row>
    <row r="11" spans="2:9" x14ac:dyDescent="0.35">
      <c r="B11" s="11" t="s">
        <v>149</v>
      </c>
      <c r="C11" s="11">
        <v>750</v>
      </c>
      <c r="D11" s="11" t="s">
        <v>150</v>
      </c>
      <c r="E11" s="11">
        <v>1</v>
      </c>
      <c r="F11" s="11">
        <v>-1</v>
      </c>
      <c r="G11" s="14" t="s">
        <v>159</v>
      </c>
      <c r="H11" s="2"/>
      <c r="I11" s="2"/>
    </row>
    <row r="12" spans="2:9" x14ac:dyDescent="0.35">
      <c r="B12" s="11" t="s">
        <v>145</v>
      </c>
      <c r="C12" s="11">
        <v>750</v>
      </c>
      <c r="D12" s="11" t="s">
        <v>146</v>
      </c>
      <c r="E12" s="11">
        <v>1</v>
      </c>
      <c r="F12" s="11"/>
      <c r="G12" s="14"/>
      <c r="H12" s="2"/>
      <c r="I12" s="2"/>
    </row>
    <row r="13" spans="2:9" x14ac:dyDescent="0.35">
      <c r="B13" s="11" t="s">
        <v>152</v>
      </c>
      <c r="C13" s="11">
        <v>750</v>
      </c>
      <c r="D13" s="11" t="s">
        <v>153</v>
      </c>
      <c r="E13" s="11">
        <v>1</v>
      </c>
      <c r="F13" s="11"/>
      <c r="G13" s="14"/>
      <c r="H13" s="2"/>
      <c r="I13" s="2"/>
    </row>
    <row r="14" spans="2:9" x14ac:dyDescent="0.35">
      <c r="B14" s="11" t="s">
        <v>185</v>
      </c>
      <c r="C14" s="11">
        <v>750</v>
      </c>
      <c r="D14" s="11" t="s">
        <v>186</v>
      </c>
      <c r="E14" s="11">
        <v>1</v>
      </c>
      <c r="F14" s="11"/>
      <c r="G14" s="14"/>
      <c r="H14" s="2"/>
      <c r="I14" s="2"/>
    </row>
    <row r="15" spans="2:9" x14ac:dyDescent="0.35">
      <c r="B15" s="11" t="s">
        <v>187</v>
      </c>
      <c r="C15" s="11">
        <v>750</v>
      </c>
      <c r="D15" s="11" t="s">
        <v>188</v>
      </c>
      <c r="E15" s="11">
        <v>1</v>
      </c>
      <c r="F15" s="11"/>
      <c r="G15" s="14"/>
      <c r="H15" s="2"/>
      <c r="I15" s="2"/>
    </row>
    <row r="16" spans="2:9" x14ac:dyDescent="0.35">
      <c r="B16" s="11" t="s">
        <v>6</v>
      </c>
      <c r="C16" s="11">
        <v>750</v>
      </c>
      <c r="D16" s="11" t="s">
        <v>68</v>
      </c>
      <c r="E16" s="11">
        <v>0</v>
      </c>
      <c r="F16" s="11">
        <v>-5</v>
      </c>
      <c r="G16" s="14" t="s">
        <v>159</v>
      </c>
      <c r="H16" s="2"/>
      <c r="I16" s="2"/>
    </row>
    <row r="17" spans="2:9" x14ac:dyDescent="0.35">
      <c r="B17" s="11" t="s">
        <v>122</v>
      </c>
      <c r="C17" s="11">
        <v>750</v>
      </c>
      <c r="D17" s="11" t="s">
        <v>123</v>
      </c>
      <c r="E17" s="11">
        <v>0</v>
      </c>
      <c r="F17" s="11">
        <v>-3</v>
      </c>
      <c r="G17" s="14" t="s">
        <v>159</v>
      </c>
      <c r="H17" s="11">
        <v>-3</v>
      </c>
      <c r="I17" s="2" t="s">
        <v>169</v>
      </c>
    </row>
    <row r="18" spans="2:9" x14ac:dyDescent="0.35">
      <c r="B18" s="11" t="s">
        <v>151</v>
      </c>
      <c r="C18" s="11">
        <v>750</v>
      </c>
      <c r="D18" s="11" t="s">
        <v>140</v>
      </c>
      <c r="E18" s="11">
        <v>0</v>
      </c>
      <c r="F18" s="11">
        <v>-3</v>
      </c>
      <c r="G18" s="14" t="s">
        <v>159</v>
      </c>
      <c r="H18" s="2"/>
      <c r="I18" s="2"/>
    </row>
    <row r="19" spans="2:9" x14ac:dyDescent="0.35">
      <c r="B19" s="11" t="s">
        <v>9</v>
      </c>
      <c r="C19" s="11">
        <v>750</v>
      </c>
      <c r="D19" s="11" t="s">
        <v>71</v>
      </c>
      <c r="E19" s="11">
        <v>0</v>
      </c>
      <c r="F19" s="11">
        <v>-1</v>
      </c>
      <c r="G19" s="14" t="s">
        <v>168</v>
      </c>
      <c r="H19" s="2"/>
      <c r="I19" s="2"/>
    </row>
    <row r="20" spans="2:9" x14ac:dyDescent="0.35">
      <c r="B20" s="11" t="s">
        <v>38</v>
      </c>
      <c r="C20" s="11">
        <v>750</v>
      </c>
      <c r="D20" s="11" t="s">
        <v>99</v>
      </c>
      <c r="E20" s="11">
        <v>0</v>
      </c>
      <c r="F20" s="11"/>
      <c r="G20" s="14"/>
      <c r="H20" s="2"/>
      <c r="I20" s="2"/>
    </row>
    <row r="21" spans="2:9" x14ac:dyDescent="0.35">
      <c r="B21" s="11" t="s">
        <v>24</v>
      </c>
      <c r="C21" s="11">
        <v>750</v>
      </c>
      <c r="D21" s="11" t="s">
        <v>86</v>
      </c>
      <c r="E21" s="11">
        <v>0</v>
      </c>
      <c r="F21" s="11"/>
      <c r="G21" s="14"/>
      <c r="H21" s="2"/>
      <c r="I21" s="2"/>
    </row>
    <row r="22" spans="2:9" x14ac:dyDescent="0.35">
      <c r="B22" s="15"/>
      <c r="C22" s="15"/>
      <c r="D22" s="15"/>
      <c r="E22" s="15"/>
      <c r="F22" s="15"/>
      <c r="G22" s="15"/>
    </row>
  </sheetData>
  <conditionalFormatting sqref="B2 D2 F2:I2">
    <cfRule type="duplicateValues" dxfId="19" priority="4"/>
  </conditionalFormatting>
  <conditionalFormatting sqref="B3 D3">
    <cfRule type="duplicateValues" dxfId="18" priority="5"/>
  </conditionalFormatting>
  <conditionalFormatting sqref="B4 D4">
    <cfRule type="duplicateValues" dxfId="17" priority="3"/>
  </conditionalFormatting>
  <conditionalFormatting sqref="B5 D5">
    <cfRule type="duplicateValues" dxfId="16" priority="2"/>
  </conditionalFormatting>
  <conditionalFormatting sqref="B18 D18">
    <cfRule type="duplicateValues" dxfId="1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7736C-C883-4911-8B42-093D729778BB}">
  <dimension ref="B2:E19"/>
  <sheetViews>
    <sheetView workbookViewId="0">
      <selection activeCell="D9" sqref="D9"/>
    </sheetView>
  </sheetViews>
  <sheetFormatPr baseColWidth="10" defaultRowHeight="14.5" x14ac:dyDescent="0.35"/>
  <cols>
    <col min="2" max="2" width="16.81640625" bestFit="1" customWidth="1"/>
    <col min="3" max="3" width="4.81640625" bestFit="1" customWidth="1"/>
    <col min="4" max="4" width="42" bestFit="1" customWidth="1"/>
    <col min="5" max="5" width="4.08984375" bestFit="1" customWidth="1"/>
  </cols>
  <sheetData>
    <row r="2" spans="2:5" x14ac:dyDescent="0.35">
      <c r="B2" s="2" t="s">
        <v>46</v>
      </c>
      <c r="C2" s="2" t="s">
        <v>162</v>
      </c>
      <c r="D2" s="2" t="s">
        <v>47</v>
      </c>
      <c r="E2" s="2" t="s">
        <v>61</v>
      </c>
    </row>
    <row r="3" spans="2:5" x14ac:dyDescent="0.35">
      <c r="B3" s="2" t="s">
        <v>192</v>
      </c>
      <c r="C3" s="2">
        <v>750</v>
      </c>
      <c r="D3" s="2" t="s">
        <v>193</v>
      </c>
      <c r="E3" s="2">
        <v>1</v>
      </c>
    </row>
    <row r="4" spans="2:5" x14ac:dyDescent="0.35">
      <c r="B4" s="2" t="s">
        <v>58</v>
      </c>
      <c r="C4" s="2">
        <v>1500</v>
      </c>
      <c r="D4" s="2" t="s">
        <v>109</v>
      </c>
      <c r="E4" s="2">
        <v>24</v>
      </c>
    </row>
    <row r="5" spans="2:5" x14ac:dyDescent="0.35">
      <c r="B5" s="2"/>
      <c r="C5" s="2"/>
      <c r="D5" s="2"/>
      <c r="E5" s="2"/>
    </row>
    <row r="6" spans="2:5" x14ac:dyDescent="0.35">
      <c r="B6" s="2"/>
      <c r="C6" s="2"/>
      <c r="D6" s="2"/>
      <c r="E6" s="2"/>
    </row>
    <row r="7" spans="2:5" x14ac:dyDescent="0.35">
      <c r="B7" s="2"/>
      <c r="C7" s="2"/>
      <c r="D7" s="2"/>
      <c r="E7" s="2"/>
    </row>
    <row r="8" spans="2:5" x14ac:dyDescent="0.35">
      <c r="B8" s="2"/>
      <c r="C8" s="2"/>
      <c r="D8" s="2"/>
      <c r="E8" s="2"/>
    </row>
    <row r="9" spans="2:5" x14ac:dyDescent="0.35">
      <c r="B9" s="2"/>
      <c r="C9" s="2"/>
      <c r="D9" s="2"/>
      <c r="E9" s="13"/>
    </row>
    <row r="10" spans="2:5" x14ac:dyDescent="0.35">
      <c r="B10" s="2"/>
      <c r="C10" s="2"/>
      <c r="D10" s="2"/>
      <c r="E10" s="2"/>
    </row>
    <row r="11" spans="2:5" x14ac:dyDescent="0.35">
      <c r="B11" s="2"/>
      <c r="C11" s="2"/>
      <c r="D11" s="2"/>
      <c r="E11" s="2"/>
    </row>
    <row r="12" spans="2:5" x14ac:dyDescent="0.35">
      <c r="B12" s="2"/>
      <c r="C12" s="2"/>
      <c r="D12" s="2"/>
      <c r="E12" s="2"/>
    </row>
    <row r="13" spans="2:5" x14ac:dyDescent="0.35">
      <c r="B13" s="2"/>
      <c r="C13" s="2"/>
      <c r="D13" s="2"/>
      <c r="E13" s="2"/>
    </row>
    <row r="14" spans="2:5" x14ac:dyDescent="0.35">
      <c r="B14" s="2"/>
      <c r="C14" s="2"/>
      <c r="D14" s="2"/>
      <c r="E14" s="2"/>
    </row>
    <row r="15" spans="2:5" x14ac:dyDescent="0.35">
      <c r="B15" s="2"/>
      <c r="C15" s="2"/>
      <c r="D15" s="2"/>
      <c r="E15" s="2"/>
    </row>
    <row r="16" spans="2:5" x14ac:dyDescent="0.35">
      <c r="B16" s="2"/>
      <c r="C16" s="2"/>
      <c r="D16" s="2"/>
      <c r="E16" s="2"/>
    </row>
    <row r="17" spans="2:5" x14ac:dyDescent="0.35">
      <c r="B17" s="2"/>
      <c r="C17" s="2"/>
      <c r="D17" s="2"/>
      <c r="E17" s="2"/>
    </row>
    <row r="18" spans="2:5" x14ac:dyDescent="0.35">
      <c r="B18" s="2"/>
      <c r="C18" s="2"/>
      <c r="D18" s="2"/>
      <c r="E18" s="2"/>
    </row>
    <row r="19" spans="2:5" x14ac:dyDescent="0.35">
      <c r="B19" s="2"/>
      <c r="C19" s="2"/>
      <c r="D19" s="2"/>
      <c r="E19" s="2"/>
    </row>
  </sheetData>
  <conditionalFormatting sqref="B2 D2">
    <cfRule type="duplicateValues" dxfId="14" priority="27"/>
  </conditionalFormatting>
  <conditionalFormatting sqref="B3 D3">
    <cfRule type="duplicateValues" dxfId="13" priority="1"/>
  </conditionalFormatting>
  <conditionalFormatting sqref="B4 D4">
    <cfRule type="duplicateValues" dxfId="12" priority="14"/>
  </conditionalFormatting>
  <conditionalFormatting sqref="B5 D5">
    <cfRule type="duplicateValues" dxfId="11" priority="3"/>
  </conditionalFormatting>
  <conditionalFormatting sqref="B6">
    <cfRule type="duplicateValues" dxfId="10" priority="23"/>
  </conditionalFormatting>
  <conditionalFormatting sqref="B7 D7">
    <cfRule type="duplicateValues" dxfId="9" priority="15"/>
  </conditionalFormatting>
  <conditionalFormatting sqref="B8 D8">
    <cfRule type="duplicateValues" dxfId="8" priority="6"/>
  </conditionalFormatting>
  <conditionalFormatting sqref="B9 D9">
    <cfRule type="duplicateValues" dxfId="7" priority="5"/>
  </conditionalFormatting>
  <conditionalFormatting sqref="B10 D10">
    <cfRule type="duplicateValues" dxfId="6" priority="4"/>
  </conditionalFormatting>
  <conditionalFormatting sqref="B11 D11">
    <cfRule type="duplicateValues" dxfId="5" priority="2"/>
  </conditionalFormatting>
  <conditionalFormatting sqref="B12 D12">
    <cfRule type="duplicateValues" dxfId="4" priority="11"/>
  </conditionalFormatting>
  <conditionalFormatting sqref="B13 D13">
    <cfRule type="duplicateValues" dxfId="3" priority="10"/>
  </conditionalFormatting>
  <conditionalFormatting sqref="B14 D14">
    <cfRule type="duplicateValues" dxfId="2" priority="16"/>
  </conditionalFormatting>
  <conditionalFormatting sqref="B15:B18 D15:D18">
    <cfRule type="duplicateValues" dxfId="1" priority="9"/>
  </conditionalFormatting>
  <conditionalFormatting sqref="D6">
    <cfRule type="duplicateValues" dxfId="0" priority="2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B7781-D0B0-4C1F-B69A-B25198FEC648}">
  <dimension ref="D2"/>
  <sheetViews>
    <sheetView workbookViewId="0">
      <selection activeCell="D3" sqref="D3"/>
    </sheetView>
  </sheetViews>
  <sheetFormatPr baseColWidth="10" defaultRowHeight="14.5" x14ac:dyDescent="0.35"/>
  <sheetData>
    <row r="2" spans="4:4" x14ac:dyDescent="0.35">
      <c r="D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STOCK</vt:lpstr>
      <vt:lpstr>Vinos no inventariado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Guerrero Vega</dc:creator>
  <cp:lastModifiedBy>Jorge Guerrero Vega</cp:lastModifiedBy>
  <dcterms:created xsi:type="dcterms:W3CDTF">2026-07-03T16:14:06Z</dcterms:created>
  <dcterms:modified xsi:type="dcterms:W3CDTF">2026-09-22T19:02:44Z</dcterms:modified>
</cp:coreProperties>
</file>