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8wd2pZ/L/rN6gbZncA6Al6KjKwEgIiXCMwT8mHrUX4A="/>
    </ext>
  </extLst>
</workbook>
</file>

<file path=xl/sharedStrings.xml><?xml version="1.0" encoding="utf-8"?>
<sst xmlns="http://schemas.openxmlformats.org/spreadsheetml/2006/main" count="1018" uniqueCount="312">
  <si>
    <t>facturado</t>
  </si>
  <si>
    <t>PRODUCTO</t>
  </si>
  <si>
    <t>Proveedor</t>
  </si>
  <si>
    <t>RUT</t>
  </si>
  <si>
    <t>Fecha recepcion</t>
  </si>
  <si>
    <t>SOLPED</t>
  </si>
  <si>
    <t>Cuenta Contable</t>
  </si>
  <si>
    <t>Centro de Costo</t>
  </si>
  <si>
    <t xml:space="preserve">Segmeto </t>
  </si>
  <si>
    <t>QTY DE PRODUCTOS</t>
  </si>
  <si>
    <t>Almacen</t>
  </si>
  <si>
    <t>Descripción del Producto</t>
  </si>
  <si>
    <t>Cantidad</t>
  </si>
  <si>
    <t>Monto Neto Unitario</t>
  </si>
  <si>
    <t>Monto Total Neto</t>
  </si>
  <si>
    <t>IVA</t>
  </si>
  <si>
    <t>Impuesto Carne</t>
  </si>
  <si>
    <t>Total</t>
  </si>
  <si>
    <t>Orden de Compra</t>
  </si>
  <si>
    <t>Ingreso</t>
  </si>
  <si>
    <t>DESCRIPCION</t>
  </si>
  <si>
    <t>Factura</t>
  </si>
  <si>
    <t>UDM</t>
  </si>
  <si>
    <t>Fecha envio a pago</t>
  </si>
  <si>
    <t>Estado</t>
  </si>
  <si>
    <t>Observaciones</t>
  </si>
  <si>
    <t>CODIGO</t>
  </si>
  <si>
    <t>AGRICOLA PECUARIA</t>
  </si>
  <si>
    <t>CUENTA</t>
  </si>
  <si>
    <t>CECO</t>
  </si>
  <si>
    <t>77977100-8</t>
  </si>
  <si>
    <t>COSTO</t>
  </si>
  <si>
    <t xml:space="preserve">real </t>
  </si>
  <si>
    <t>ABARROTES</t>
  </si>
  <si>
    <t>COMERCIAL LAS MELLIZAS</t>
  </si>
  <si>
    <t>JAMON SERRANO</t>
  </si>
  <si>
    <t>76212525-0</t>
  </si>
  <si>
    <t>KG</t>
  </si>
  <si>
    <t>pendiente</t>
  </si>
  <si>
    <t>V18001</t>
  </si>
  <si>
    <t>HARINA EXTRAFINA</t>
  </si>
  <si>
    <t>LA TETERIA</t>
  </si>
  <si>
    <t>76579240-1</t>
  </si>
  <si>
    <t>Grupo de Articulo</t>
  </si>
  <si>
    <t>BIDFOOD CHILE S.A.</t>
  </si>
  <si>
    <t>76111152-3</t>
  </si>
  <si>
    <t>Descripción</t>
  </si>
  <si>
    <t xml:space="preserve">HARINA PANIFICACION </t>
  </si>
  <si>
    <t>TORTA TENTACIONES CHOCOLATE</t>
  </si>
  <si>
    <t>UN</t>
  </si>
  <si>
    <t>MOLINERA SAN CRISTOBAL</t>
  </si>
  <si>
    <t>90060000-3</t>
  </si>
  <si>
    <t>V18002</t>
  </si>
  <si>
    <t>ART DE ASEO</t>
  </si>
  <si>
    <t>ALCAPARRAS 965G</t>
  </si>
  <si>
    <t>V18003</t>
  </si>
  <si>
    <t>BEBESTIBLE</t>
  </si>
  <si>
    <t xml:space="preserve">ACEITUNAS VERDES EN RODAJAS </t>
  </si>
  <si>
    <t>V18004</t>
  </si>
  <si>
    <t>CAFETERIA</t>
  </si>
  <si>
    <t xml:space="preserve">ACEITUNAS NEGRAS EN RODAJAS </t>
  </si>
  <si>
    <t>V18005</t>
  </si>
  <si>
    <t>CONDIMENTO</t>
  </si>
  <si>
    <t>MASAS LISTAS FILLO 320G</t>
  </si>
  <si>
    <t>V18006</t>
  </si>
  <si>
    <t>CONGELADOS</t>
  </si>
  <si>
    <t xml:space="preserve">TROCITOS BARQUILLO </t>
  </si>
  <si>
    <t>V18007</t>
  </si>
  <si>
    <t>FRUTA</t>
  </si>
  <si>
    <t xml:space="preserve">COUSCOUS </t>
  </si>
  <si>
    <t>V18008</t>
  </si>
  <si>
    <t>FRUTOS SECOS</t>
  </si>
  <si>
    <t xml:space="preserve">POLENTA ISTANTANEA </t>
  </si>
  <si>
    <t>V18009</t>
  </si>
  <si>
    <t>HIERBA</t>
  </si>
  <si>
    <t xml:space="preserve">SALSA INGLESA </t>
  </si>
  <si>
    <t>LT</t>
  </si>
  <si>
    <t>V18010</t>
  </si>
  <si>
    <t>INSUMOS</t>
  </si>
  <si>
    <t>PALMITOS ENTEROS 810G</t>
  </si>
  <si>
    <t>V18011</t>
  </si>
  <si>
    <t>LACTEOS</t>
  </si>
  <si>
    <t xml:space="preserve">ARROZ RISOTTO </t>
  </si>
  <si>
    <t>V18012</t>
  </si>
  <si>
    <t>PROTEINA</t>
  </si>
  <si>
    <t xml:space="preserve">PEPINILLOS </t>
  </si>
  <si>
    <t>V18013</t>
  </si>
  <si>
    <t>VERDURA</t>
  </si>
  <si>
    <t xml:space="preserve">SEMOLA </t>
  </si>
  <si>
    <t xml:space="preserve">MAYO </t>
  </si>
  <si>
    <t xml:space="preserve">PANKO BLANCO </t>
  </si>
  <si>
    <t>PALMITOS EN RODAJA 810G</t>
  </si>
  <si>
    <t>LEVADURA INSTATANEA 500G</t>
  </si>
  <si>
    <t xml:space="preserve">TRIPLE CONCENTRADO DE TOMATE </t>
  </si>
  <si>
    <t xml:space="preserve">KETCHUP </t>
  </si>
  <si>
    <t xml:space="preserve">ARROZ LARGO ANCHO 1GRADO </t>
  </si>
  <si>
    <t xml:space="preserve">ESENCIA VAINILLA </t>
  </si>
  <si>
    <t>AJI CREMA</t>
  </si>
  <si>
    <t xml:space="preserve">MOSTAZA </t>
  </si>
  <si>
    <t>GELATINA EN HOJAS CAJA (colapes)</t>
  </si>
  <si>
    <t>LADRILLO PARA PARRILLA</t>
  </si>
  <si>
    <t>JABON USO GENERAL EN SPRAY 800ML</t>
  </si>
  <si>
    <t>GUANTES BLACK L 100pcs</t>
  </si>
  <si>
    <t>CJ</t>
  </si>
  <si>
    <t>GUANTES BLACK S 100pcs</t>
  </si>
  <si>
    <t>na</t>
  </si>
  <si>
    <t>DETERGENTE DESINCRUSTANTE ACIDO 1LT</t>
  </si>
  <si>
    <t>LUSTRAMUEBLES 500ML</t>
  </si>
  <si>
    <t>ESPONJA PARRILLERA X 3UN</t>
  </si>
  <si>
    <t>ESCOBILLA LAVAROPA</t>
  </si>
  <si>
    <t xml:space="preserve">CLORO GEL </t>
  </si>
  <si>
    <t>PAÑO MULTIUSO TRADICIONAL</t>
  </si>
  <si>
    <t>DESINFECTANTE CUATERNARIO 9% 1LT</t>
  </si>
  <si>
    <t>TRAPERO DOBLE c/OJAL 50x50</t>
  </si>
  <si>
    <t>TRAPERO 50x50 c/OJAL</t>
  </si>
  <si>
    <t>PASTILLA LIMPIADORA HORNO VERDE</t>
  </si>
  <si>
    <t>ESPONJA DE ACERO EXTRA GRANDE</t>
  </si>
  <si>
    <t>PASTILLA LIMPIADORA HORNO AZUL</t>
  </si>
  <si>
    <t>ESPONJA FIBRA</t>
  </si>
  <si>
    <t>ESPONJA LISA</t>
  </si>
  <si>
    <t>GUANTE ACTIVEX NITRILO FLOCADO VERDE M</t>
  </si>
  <si>
    <t>PAPEL HIGENICO ROLLO JUMBO 400M</t>
  </si>
  <si>
    <t>TOALLA DE MANO HOJA SENCILLA 350M</t>
  </si>
  <si>
    <t xml:space="preserve">BOLSA DE BASURA </t>
  </si>
  <si>
    <t xml:space="preserve">DESODORANTE AMBIENTAL </t>
  </si>
  <si>
    <t>COCA COLA ZERO PET 1,5</t>
  </si>
  <si>
    <t>SPRITE ORIGINAL PET 1,5</t>
  </si>
  <si>
    <t>SPRITE 350CC ZERO</t>
  </si>
  <si>
    <t>SPRITE 350CC ORIGINAL</t>
  </si>
  <si>
    <t>AGUA TONICA 350CC ORIGINAL</t>
  </si>
  <si>
    <t>GINGER ALE 350CC ORIGINAL</t>
  </si>
  <si>
    <t>GINGER ALE 350CC ZERO</t>
  </si>
  <si>
    <t>LUCAFFE CAPSULA ESPRESSO</t>
  </si>
  <si>
    <t xml:space="preserve">LUCAFFE PERCOLADO </t>
  </si>
  <si>
    <t xml:space="preserve">CHOCOLATE BLANCO ECUADOR 31% CACAO </t>
  </si>
  <si>
    <t>CHOCOLATE NEGRO ECUADOR 56% CACAO</t>
  </si>
  <si>
    <t xml:space="preserve">CACAO MOLIDO </t>
  </si>
  <si>
    <t>MIEL 900ML</t>
  </si>
  <si>
    <t xml:space="preserve">AZUCAR RUBIA </t>
  </si>
  <si>
    <t xml:space="preserve">AZUCAR FLOR </t>
  </si>
  <si>
    <t>DIS230</t>
  </si>
  <si>
    <t>TE CEDRON CITRICO</t>
  </si>
  <si>
    <t>TE BOLDO</t>
  </si>
  <si>
    <t>TE MANZANILLA</t>
  </si>
  <si>
    <t>TE MENTA PIPERITA</t>
  </si>
  <si>
    <t>TE NEGRO PURO</t>
  </si>
  <si>
    <t>DIS403</t>
  </si>
  <si>
    <t>DIS401</t>
  </si>
  <si>
    <t>ENDULZANTE 0,5</t>
  </si>
  <si>
    <t xml:space="preserve">CAFÉ INSTANTANEO NESCAFE  </t>
  </si>
  <si>
    <t xml:space="preserve">AZUCAR BLANCA GRANULADA </t>
  </si>
  <si>
    <t xml:space="preserve">CANELA MOLIDA </t>
  </si>
  <si>
    <t xml:space="preserve">AJO EN POLVO </t>
  </si>
  <si>
    <t>SEMILLA DE MOSTAZA</t>
  </si>
  <si>
    <t xml:space="preserve">AZAFRAN </t>
  </si>
  <si>
    <t>GR</t>
  </si>
  <si>
    <t xml:space="preserve">ANIS </t>
  </si>
  <si>
    <t xml:space="preserve">CLAVOS DE OLOR </t>
  </si>
  <si>
    <t xml:space="preserve">COMINO </t>
  </si>
  <si>
    <t xml:space="preserve">PIMIENTA BLANCA </t>
  </si>
  <si>
    <t xml:space="preserve">VINAGRE DE MANZANA </t>
  </si>
  <si>
    <t xml:space="preserve">AJI DE COLOR </t>
  </si>
  <si>
    <t>PALO DE CANELA</t>
  </si>
  <si>
    <t>JENGIBRE</t>
  </si>
  <si>
    <t xml:space="preserve">PIMIENTA NEGRA </t>
  </si>
  <si>
    <t xml:space="preserve">OREGANO ENTERO </t>
  </si>
  <si>
    <t xml:space="preserve">MERKEN </t>
  </si>
  <si>
    <t>PICKLET</t>
  </si>
  <si>
    <t xml:space="preserve">ACEITE PARA FRITURAS </t>
  </si>
  <si>
    <t>TABASCO</t>
  </si>
  <si>
    <t xml:space="preserve">SAL DE MAR </t>
  </si>
  <si>
    <t xml:space="preserve">ACEITE VEGETAL </t>
  </si>
  <si>
    <t xml:space="preserve">SAL DE MESA </t>
  </si>
  <si>
    <t>AJO</t>
  </si>
  <si>
    <t>HELADO DE CHOCOLATE BELGA</t>
  </si>
  <si>
    <t>HELADO DE CHOCOLATE SUIZO</t>
  </si>
  <si>
    <t>HELADO DE VAINILLA</t>
  </si>
  <si>
    <t>HELADO DE PIÑA</t>
  </si>
  <si>
    <t>HELADO DE FRUTILLA</t>
  </si>
  <si>
    <t>HELADO DE FRAMBUESA</t>
  </si>
  <si>
    <t xml:space="preserve">PULPA MANGO </t>
  </si>
  <si>
    <t xml:space="preserve">PULPA PIÑA </t>
  </si>
  <si>
    <t xml:space="preserve">PULPA FRUTILLA </t>
  </si>
  <si>
    <t xml:space="preserve">POROTOS GRANADOS </t>
  </si>
  <si>
    <t xml:space="preserve">PURE DE PALTA </t>
  </si>
  <si>
    <t>ENSALADA LISTA</t>
  </si>
  <si>
    <t xml:space="preserve">PASTA DE CHOCLO C/ALBAHACA </t>
  </si>
  <si>
    <t>PASTA DE CHOCLO</t>
  </si>
  <si>
    <t>CHOCLO EN GRANO</t>
  </si>
  <si>
    <t>ARVEJAS</t>
  </si>
  <si>
    <t>HUESILLO</t>
  </si>
  <si>
    <t>FRUTILLA</t>
  </si>
  <si>
    <t>PIÑA</t>
  </si>
  <si>
    <t>ARANDANO</t>
  </si>
  <si>
    <t>KIWI</t>
  </si>
  <si>
    <t>PERA</t>
  </si>
  <si>
    <t>MANZANA VERDE</t>
  </si>
  <si>
    <t>NARANJA</t>
  </si>
  <si>
    <t>PRALINE 3KG</t>
  </si>
  <si>
    <t xml:space="preserve">NUEZ MARIPOSA </t>
  </si>
  <si>
    <t xml:space="preserve">NUEZ CUARTILLO </t>
  </si>
  <si>
    <t>SEMILLA DE ZAPALLO</t>
  </si>
  <si>
    <t xml:space="preserve">CIRUELAS SIN CAROZOS </t>
  </si>
  <si>
    <t>MENTA</t>
  </si>
  <si>
    <t>ROLLO FILM 45CM x 1400m</t>
  </si>
  <si>
    <t>PAPEL ALUMINIO 100MTS</t>
  </si>
  <si>
    <t>GAS INDIVIDUAL 230GRS</t>
  </si>
  <si>
    <t>SERVILLETAS RESTAURANTE 200UN</t>
  </si>
  <si>
    <t>SERVILLETAS RESTAURANTE 160UN</t>
  </si>
  <si>
    <t xml:space="preserve">METHANOL GEL </t>
  </si>
  <si>
    <t xml:space="preserve">BANDEJAS DESECHABLES PARA LLEVAR </t>
  </si>
  <si>
    <t>BOLSAS DE VACÍO PARA ALIMENTOS 30X45X75</t>
  </si>
  <si>
    <t>BOLSAS DE VACÍO PARA ALIMENTO 17X24X100</t>
  </si>
  <si>
    <t xml:space="preserve">BOMBILLAS </t>
  </si>
  <si>
    <t>VASOS DE CARTON  50UN</t>
  </si>
  <si>
    <t>PAPEL TAMAÑO CARTA 500 HOJAS</t>
  </si>
  <si>
    <t>QUESO DE CABRA</t>
  </si>
  <si>
    <t xml:space="preserve">QUESO AZUL </t>
  </si>
  <si>
    <t xml:space="preserve">QUESO PARMESANO </t>
  </si>
  <si>
    <t xml:space="preserve">MANTEQUILLA SIN SAL </t>
  </si>
  <si>
    <t>LECHE ENTERA INSTANTANEA EN POLVO 900GR</t>
  </si>
  <si>
    <t xml:space="preserve">QUESO CREMA </t>
  </si>
  <si>
    <t>CREMA DE LECHE 1LT</t>
  </si>
  <si>
    <t xml:space="preserve">YOGHURT NATURAL </t>
  </si>
  <si>
    <t>LECHE EVAPORADA 366G</t>
  </si>
  <si>
    <t>MANTEQUILLA DE CAMPO 250GR</t>
  </si>
  <si>
    <t>LECHE CONDENSADA 397GR</t>
  </si>
  <si>
    <t>LECHE ENTERA LIQUIDA 1LT</t>
  </si>
  <si>
    <t>OSTION</t>
  </si>
  <si>
    <t>LOMO VETADO</t>
  </si>
  <si>
    <t xml:space="preserve">FILETE S/C </t>
  </si>
  <si>
    <t>SALMON AHUMADO</t>
  </si>
  <si>
    <t>CHORIZO ARGENTINO</t>
  </si>
  <si>
    <t>CAMARON NAILON</t>
  </si>
  <si>
    <t>CONGRIO DORADO</t>
  </si>
  <si>
    <t>CARNE DE JAIBA</t>
  </si>
  <si>
    <t>CONEJO</t>
  </si>
  <si>
    <t>SALMON FRESCO</t>
  </si>
  <si>
    <t>TAPABARRIGA</t>
  </si>
  <si>
    <t>GARRON DE CORDERO</t>
  </si>
  <si>
    <t>CORVINA</t>
  </si>
  <si>
    <t>PULPO</t>
  </si>
  <si>
    <t>ATUN</t>
  </si>
  <si>
    <t xml:space="preserve">MERLUSA AUSTRAL </t>
  </si>
  <si>
    <t>PRIETAS</t>
  </si>
  <si>
    <t>OSOBUCO</t>
  </si>
  <si>
    <t>MALAYA</t>
  </si>
  <si>
    <t>CAMARON ECUATORIANO</t>
  </si>
  <si>
    <t>COSTILLAR VACUNO</t>
  </si>
  <si>
    <t>PLATEADA ENTERO</t>
  </si>
  <si>
    <t>CARNE MOLIDA 10%</t>
  </si>
  <si>
    <t>COSTILLAR</t>
  </si>
  <si>
    <t>TRUTO CORTO</t>
  </si>
  <si>
    <t>PECHUGA DESH</t>
  </si>
  <si>
    <t>LONGANIZA</t>
  </si>
  <si>
    <t>HUEVO</t>
  </si>
  <si>
    <t>PUERRO</t>
  </si>
  <si>
    <t>PAQUETES</t>
  </si>
  <si>
    <t>ZAPALLO CAMOTE</t>
  </si>
  <si>
    <t>CHAMPIÑON BLANCO</t>
  </si>
  <si>
    <t>MIX DE HOJA</t>
  </si>
  <si>
    <t>ALBAHACA</t>
  </si>
  <si>
    <t>PAPA TOPINAMBUR</t>
  </si>
  <si>
    <t>PALTA</t>
  </si>
  <si>
    <t>AJI VERDE</t>
  </si>
  <si>
    <t>BERRO JAPONES</t>
  </si>
  <si>
    <t>PAPA CHILOTA</t>
  </si>
  <si>
    <t>TOMATE CHERRY</t>
  </si>
  <si>
    <t>CILANTRO</t>
  </si>
  <si>
    <t>CIBULLETT</t>
  </si>
  <si>
    <t>PAPA CAMOTE</t>
  </si>
  <si>
    <t>PEREJIL</t>
  </si>
  <si>
    <t>LIMON SUTIL</t>
  </si>
  <si>
    <t>APIO</t>
  </si>
  <si>
    <t>CEBOLLA MORADA</t>
  </si>
  <si>
    <t xml:space="preserve">TOMATE </t>
  </si>
  <si>
    <t>BETERRAGA</t>
  </si>
  <si>
    <t>BROCOLI</t>
  </si>
  <si>
    <t>PIMENTON AMARILLO</t>
  </si>
  <si>
    <t>RABANITO</t>
  </si>
  <si>
    <t>PIMENTON ROJO</t>
  </si>
  <si>
    <t>PAPA BLANCA</t>
  </si>
  <si>
    <t>PIMENTON VERDE</t>
  </si>
  <si>
    <t>CEBOLLA BLANCA</t>
  </si>
  <si>
    <t>ZANAHORIA</t>
  </si>
  <si>
    <t>LIMON AMARILLO</t>
  </si>
  <si>
    <t>PEPINO</t>
  </si>
  <si>
    <t>BERENGENAS</t>
  </si>
  <si>
    <t xml:space="preserve">ZAPALLO ITALIANO </t>
  </si>
  <si>
    <t>ZUCCHINI BABY</t>
  </si>
  <si>
    <t>LECHUGA LOLLO VERDE</t>
  </si>
  <si>
    <t>LECHUGA LOLLO ROSA</t>
  </si>
  <si>
    <t>CARBON</t>
  </si>
  <si>
    <t>PECHERA</t>
  </si>
  <si>
    <t xml:space="preserve">MOTE </t>
  </si>
  <si>
    <t xml:space="preserve">HUESOS </t>
  </si>
  <si>
    <t xml:space="preserve">FLOR CAPUCHINA </t>
  </si>
  <si>
    <t>MIX DE ACELGA BABY</t>
  </si>
  <si>
    <t>HOJAS DE CAPUCHINAS</t>
  </si>
  <si>
    <t>MICROGREEN DE CLITANTRO BANDEJA</t>
  </si>
  <si>
    <t>UVA VERDE</t>
  </si>
  <si>
    <t>Glutamato Monosódico (Ajinomoto)</t>
  </si>
  <si>
    <t>FETUCHINIS AL HUEVO</t>
  </si>
  <si>
    <t xml:space="preserve">TOMILLO FRESCO </t>
  </si>
  <si>
    <t>SPAGUETTI</t>
  </si>
  <si>
    <t>SAL PARRILLERA</t>
  </si>
  <si>
    <t>HELADO DE PISTACHO</t>
  </si>
  <si>
    <t>HABAS</t>
  </si>
  <si>
    <t>SORREL RED</t>
  </si>
  <si>
    <t>MANGA RT55 550X300mm</t>
  </si>
  <si>
    <t>SALSA DE SOYA</t>
  </si>
  <si>
    <t>ESPARRAGO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</si>
</sst>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b/>
      <sz val="11.0"/>
      <color rgb="FFFFFFFF"/>
      <name val="Aptos Narrow"/>
    </font>
    <font>
      <b/>
      <sz val="11.0"/>
      <color rgb="FFFF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3" fontId="3" numFmtId="0" xfId="0" applyBorder="1" applyFill="1" applyFont="1"/>
    <xf borderId="1" fillId="0" fontId="4" numFmtId="0" xfId="0" applyBorder="1" applyFont="1"/>
    <xf borderId="1" fillId="0" fontId="4" numFmtId="164" xfId="0" applyBorder="1" applyFont="1" applyNumberFormat="1"/>
    <xf borderId="2" fillId="3" fontId="3" numFmtId="0" xfId="0" applyBorder="1" applyFill="1" applyFont="1"/>
    <xf borderId="1" fillId="0" fontId="4" numFmtId="16" xfId="0" applyBorder="1" applyFont="1" applyNumberFormat="1"/>
    <xf borderId="3" fillId="0" fontId="5" numFmtId="0" xfId="0" applyAlignment="1" applyBorder="1" applyFont="1">
      <alignment vertical="center"/>
    </xf>
    <xf borderId="4" fillId="4" fontId="6" numFmtId="0" xfId="0" applyAlignment="1" applyBorder="1" applyFill="1" applyFont="1">
      <alignment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1" fillId="5" fontId="4" numFmtId="0" xfId="0" applyBorder="1" applyFill="1" applyFont="1"/>
    <xf borderId="1" fillId="6" fontId="4" numFmtId="0" xfId="0" applyBorder="1" applyFill="1" applyFont="1"/>
    <xf borderId="8" fillId="6" fontId="5" numFmtId="0" xfId="0" applyAlignment="1" applyBorder="1" applyFill="1" applyFont="1">
      <alignment vertical="center"/>
    </xf>
    <xf borderId="1" fillId="0" fontId="7" numFmtId="0" xfId="0" applyBorder="1" applyFont="1"/>
    <xf borderId="1" fillId="0" fontId="4" numFmtId="0" xfId="0" applyAlignment="1" applyBorder="1" applyFont="1">
      <alignment horizontal="right"/>
    </xf>
    <xf borderId="1" fillId="0" fontId="4" numFmtId="1" xfId="0" applyBorder="1" applyFont="1" applyNumberFormat="1"/>
    <xf borderId="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9.75"/>
    <col customWidth="1" min="3" max="3" width="9.5"/>
    <col customWidth="1" min="4" max="6" width="10.63"/>
    <col customWidth="1" min="7" max="7" width="11.5"/>
    <col customWidth="1" min="8" max="9" width="10.63"/>
    <col customWidth="1" min="10" max="10" width="7.5"/>
    <col customWidth="1" min="11" max="11" width="24.25"/>
    <col customWidth="1" min="12" max="12" width="13.88"/>
    <col customWidth="1" min="13" max="26" width="10.63"/>
  </cols>
  <sheetData>
    <row r="1" ht="14.25" customHeight="1">
      <c r="A1" s="3" t="s">
        <v>1</v>
      </c>
      <c r="B1" s="3" t="s">
        <v>20</v>
      </c>
      <c r="C1" s="3" t="s">
        <v>22</v>
      </c>
      <c r="D1" s="4" t="s">
        <v>26</v>
      </c>
      <c r="E1" s="4" t="s">
        <v>28</v>
      </c>
      <c r="F1" s="4" t="s">
        <v>29</v>
      </c>
      <c r="G1" s="4" t="s">
        <v>31</v>
      </c>
      <c r="I1" s="7" t="s">
        <v>26</v>
      </c>
    </row>
    <row r="2" ht="14.25" customHeight="1">
      <c r="A2" s="5" t="s">
        <v>33</v>
      </c>
      <c r="B2" s="5" t="s">
        <v>35</v>
      </c>
      <c r="C2" s="5" t="s">
        <v>37</v>
      </c>
      <c r="D2" s="5"/>
      <c r="E2" s="5">
        <v>4.010053E7</v>
      </c>
      <c r="F2" s="5">
        <v>3402.0</v>
      </c>
      <c r="G2" s="5">
        <v>22060.0</v>
      </c>
      <c r="H2" s="9" t="s">
        <v>39</v>
      </c>
      <c r="I2" s="1">
        <v>71149.0</v>
      </c>
    </row>
    <row r="3" ht="14.25" customHeight="1">
      <c r="A3" s="5" t="s">
        <v>33</v>
      </c>
      <c r="B3" s="5" t="s">
        <v>40</v>
      </c>
      <c r="C3" s="5" t="s">
        <v>37</v>
      </c>
      <c r="D3" s="5"/>
      <c r="E3" s="5">
        <v>4.010053E7</v>
      </c>
      <c r="F3" s="5">
        <v>3402.0</v>
      </c>
      <c r="G3" s="5">
        <v>14500.0</v>
      </c>
      <c r="H3" s="9" t="s">
        <v>39</v>
      </c>
      <c r="I3" s="1">
        <v>71150.0</v>
      </c>
      <c r="K3" s="10" t="s">
        <v>43</v>
      </c>
      <c r="L3" s="10" t="s">
        <v>46</v>
      </c>
    </row>
    <row r="4" ht="14.25" customHeight="1">
      <c r="A4" s="5" t="s">
        <v>33</v>
      </c>
      <c r="B4" s="5" t="s">
        <v>47</v>
      </c>
      <c r="C4" s="5" t="s">
        <v>37</v>
      </c>
      <c r="D4" s="5"/>
      <c r="E4" s="5">
        <v>4.010053E7</v>
      </c>
      <c r="F4" s="5">
        <v>3402.0</v>
      </c>
      <c r="G4" s="5">
        <v>14400.0</v>
      </c>
      <c r="H4" s="9" t="s">
        <v>39</v>
      </c>
      <c r="I4" s="1">
        <v>71911.0</v>
      </c>
      <c r="K4" s="9" t="s">
        <v>39</v>
      </c>
      <c r="L4" s="11" t="s">
        <v>33</v>
      </c>
    </row>
    <row r="5" ht="14.25" customHeight="1">
      <c r="A5" s="5" t="s">
        <v>33</v>
      </c>
      <c r="B5" s="5" t="s">
        <v>48</v>
      </c>
      <c r="C5" s="5" t="s">
        <v>49</v>
      </c>
      <c r="D5" s="5"/>
      <c r="E5" s="5">
        <v>4.010053E7</v>
      </c>
      <c r="F5" s="5">
        <v>3402.0</v>
      </c>
      <c r="G5" s="5">
        <v>11000.0</v>
      </c>
      <c r="H5" s="9" t="s">
        <v>39</v>
      </c>
      <c r="I5" s="1">
        <v>71912.0</v>
      </c>
      <c r="K5" s="12" t="s">
        <v>52</v>
      </c>
      <c r="L5" s="13" t="s">
        <v>53</v>
      </c>
    </row>
    <row r="6" ht="14.25" customHeight="1">
      <c r="A6" s="5" t="s">
        <v>33</v>
      </c>
      <c r="B6" s="5" t="s">
        <v>54</v>
      </c>
      <c r="C6" s="5" t="s">
        <v>49</v>
      </c>
      <c r="D6" s="5"/>
      <c r="E6" s="5">
        <v>4.010053E7</v>
      </c>
      <c r="F6" s="5">
        <v>3402.0</v>
      </c>
      <c r="G6" s="5">
        <v>8390.0</v>
      </c>
      <c r="H6" s="9" t="s">
        <v>39</v>
      </c>
      <c r="I6" s="1">
        <v>71913.0</v>
      </c>
      <c r="K6" s="12" t="s">
        <v>55</v>
      </c>
      <c r="L6" s="13" t="s">
        <v>56</v>
      </c>
    </row>
    <row r="7" ht="14.25" customHeight="1">
      <c r="A7" s="5" t="s">
        <v>33</v>
      </c>
      <c r="B7" s="5" t="s">
        <v>57</v>
      </c>
      <c r="C7" s="5" t="s">
        <v>37</v>
      </c>
      <c r="D7" s="5"/>
      <c r="E7" s="5">
        <v>4.010053E7</v>
      </c>
      <c r="F7" s="5">
        <v>3402.0</v>
      </c>
      <c r="G7" s="5">
        <v>5670.0</v>
      </c>
      <c r="H7" s="9" t="s">
        <v>39</v>
      </c>
      <c r="I7" s="1">
        <v>71914.0</v>
      </c>
      <c r="K7" s="12" t="s">
        <v>58</v>
      </c>
      <c r="L7" s="13" t="s">
        <v>59</v>
      </c>
    </row>
    <row r="8" ht="14.25" customHeight="1">
      <c r="A8" s="5" t="s">
        <v>33</v>
      </c>
      <c r="B8" s="5" t="s">
        <v>60</v>
      </c>
      <c r="C8" s="5" t="s">
        <v>37</v>
      </c>
      <c r="D8" s="5"/>
      <c r="E8" s="5">
        <v>4.010053E7</v>
      </c>
      <c r="F8" s="5">
        <v>3402.0</v>
      </c>
      <c r="G8" s="5">
        <v>5670.0</v>
      </c>
      <c r="H8" s="9" t="s">
        <v>39</v>
      </c>
      <c r="I8" s="1">
        <v>71915.0</v>
      </c>
      <c r="K8" s="12" t="s">
        <v>61</v>
      </c>
      <c r="L8" s="13" t="s">
        <v>62</v>
      </c>
    </row>
    <row r="9" ht="14.25" customHeight="1">
      <c r="A9" s="5" t="s">
        <v>33</v>
      </c>
      <c r="B9" s="5" t="s">
        <v>63</v>
      </c>
      <c r="C9" s="5" t="s">
        <v>49</v>
      </c>
      <c r="D9" s="5"/>
      <c r="E9" s="5">
        <v>4.010053E7</v>
      </c>
      <c r="F9" s="5">
        <v>3402.0</v>
      </c>
      <c r="G9" s="5">
        <v>5500.0</v>
      </c>
      <c r="H9" s="9" t="s">
        <v>39</v>
      </c>
      <c r="I9" s="1">
        <v>71916.0</v>
      </c>
      <c r="K9" s="12" t="s">
        <v>64</v>
      </c>
      <c r="L9" s="13" t="s">
        <v>65</v>
      </c>
    </row>
    <row r="10" ht="14.25" customHeight="1">
      <c r="A10" s="5" t="s">
        <v>33</v>
      </c>
      <c r="B10" s="5" t="s">
        <v>66</v>
      </c>
      <c r="C10" s="5" t="s">
        <v>37</v>
      </c>
      <c r="D10" s="5"/>
      <c r="E10" s="5">
        <v>4.010053E7</v>
      </c>
      <c r="F10" s="5">
        <v>3402.0</v>
      </c>
      <c r="G10" s="5">
        <v>5430.0</v>
      </c>
      <c r="H10" s="9" t="s">
        <v>39</v>
      </c>
      <c r="I10" s="1">
        <v>71917.0</v>
      </c>
      <c r="K10" s="12" t="s">
        <v>67</v>
      </c>
      <c r="L10" s="13" t="s">
        <v>68</v>
      </c>
    </row>
    <row r="11" ht="14.25" customHeight="1">
      <c r="A11" s="5" t="s">
        <v>33</v>
      </c>
      <c r="B11" s="5" t="s">
        <v>69</v>
      </c>
      <c r="C11" s="5" t="s">
        <v>37</v>
      </c>
      <c r="D11" s="5"/>
      <c r="E11" s="5">
        <v>4.010053E7</v>
      </c>
      <c r="F11" s="5">
        <v>3402.0</v>
      </c>
      <c r="G11" s="5">
        <v>5080.0</v>
      </c>
      <c r="H11" s="9" t="s">
        <v>39</v>
      </c>
      <c r="I11" s="1">
        <v>71918.0</v>
      </c>
      <c r="K11" s="12" t="s">
        <v>70</v>
      </c>
      <c r="L11" s="13" t="s">
        <v>71</v>
      </c>
    </row>
    <row r="12" ht="14.25" customHeight="1">
      <c r="A12" s="5" t="s">
        <v>33</v>
      </c>
      <c r="B12" s="5" t="s">
        <v>72</v>
      </c>
      <c r="C12" s="5" t="s">
        <v>37</v>
      </c>
      <c r="D12" s="5"/>
      <c r="E12" s="5">
        <v>4.010053E7</v>
      </c>
      <c r="F12" s="5">
        <v>3402.0</v>
      </c>
      <c r="G12" s="5">
        <v>5020.0</v>
      </c>
      <c r="H12" s="9" t="s">
        <v>39</v>
      </c>
      <c r="I12" s="1">
        <v>71919.0</v>
      </c>
      <c r="K12" s="12" t="s">
        <v>73</v>
      </c>
      <c r="L12" s="13" t="s">
        <v>74</v>
      </c>
    </row>
    <row r="13" ht="14.25" customHeight="1">
      <c r="A13" s="5" t="s">
        <v>33</v>
      </c>
      <c r="B13" s="5" t="s">
        <v>75</v>
      </c>
      <c r="C13" s="5" t="s">
        <v>76</v>
      </c>
      <c r="D13" s="5"/>
      <c r="E13" s="5">
        <v>4.010053E7</v>
      </c>
      <c r="F13" s="5">
        <v>3402.0</v>
      </c>
      <c r="G13" s="5">
        <v>4760.0</v>
      </c>
      <c r="H13" s="9" t="s">
        <v>39</v>
      </c>
      <c r="I13" s="1">
        <v>71920.0</v>
      </c>
      <c r="K13" s="12" t="s">
        <v>77</v>
      </c>
      <c r="L13" s="13" t="s">
        <v>78</v>
      </c>
    </row>
    <row r="14" ht="14.25" customHeight="1">
      <c r="A14" s="5" t="s">
        <v>33</v>
      </c>
      <c r="B14" s="5" t="s">
        <v>79</v>
      </c>
      <c r="C14" s="5" t="s">
        <v>49</v>
      </c>
      <c r="D14" s="5"/>
      <c r="E14" s="5">
        <v>4.010053E7</v>
      </c>
      <c r="F14" s="5">
        <v>3402.0</v>
      </c>
      <c r="G14" s="5">
        <v>3780.0</v>
      </c>
      <c r="H14" s="9" t="s">
        <v>39</v>
      </c>
      <c r="I14" s="1">
        <v>71921.0</v>
      </c>
      <c r="K14" s="12" t="s">
        <v>80</v>
      </c>
      <c r="L14" s="13" t="s">
        <v>81</v>
      </c>
    </row>
    <row r="15" ht="14.25" customHeight="1">
      <c r="A15" s="5" t="s">
        <v>33</v>
      </c>
      <c r="B15" s="5" t="s">
        <v>82</v>
      </c>
      <c r="C15" s="5" t="s">
        <v>37</v>
      </c>
      <c r="D15" s="5"/>
      <c r="E15" s="5">
        <v>4.010053E7</v>
      </c>
      <c r="F15" s="5">
        <v>3402.0</v>
      </c>
      <c r="G15" s="5">
        <v>3600.0</v>
      </c>
      <c r="H15" s="9" t="s">
        <v>39</v>
      </c>
      <c r="I15" s="1">
        <v>71922.0</v>
      </c>
      <c r="K15" s="12" t="s">
        <v>83</v>
      </c>
      <c r="L15" s="13" t="s">
        <v>84</v>
      </c>
    </row>
    <row r="16" ht="14.25" customHeight="1">
      <c r="A16" s="5" t="s">
        <v>33</v>
      </c>
      <c r="B16" s="5" t="s">
        <v>85</v>
      </c>
      <c r="C16" s="5" t="s">
        <v>37</v>
      </c>
      <c r="D16" s="5"/>
      <c r="E16" s="5">
        <v>4.010053E7</v>
      </c>
      <c r="F16" s="5">
        <v>3402.0</v>
      </c>
      <c r="G16" s="5">
        <v>3490.0</v>
      </c>
      <c r="H16" s="9" t="s">
        <v>39</v>
      </c>
      <c r="I16" s="1">
        <v>71923.0</v>
      </c>
      <c r="K16" s="12" t="s">
        <v>86</v>
      </c>
      <c r="L16" s="13" t="s">
        <v>87</v>
      </c>
    </row>
    <row r="17" ht="14.25" customHeight="1">
      <c r="A17" s="5" t="s">
        <v>33</v>
      </c>
      <c r="B17" s="5" t="s">
        <v>88</v>
      </c>
      <c r="C17" s="5" t="s">
        <v>37</v>
      </c>
      <c r="D17" s="5"/>
      <c r="E17" s="5">
        <v>4.010053E7</v>
      </c>
      <c r="F17" s="5">
        <v>3402.0</v>
      </c>
      <c r="G17" s="5">
        <v>3360.0</v>
      </c>
      <c r="H17" s="9" t="s">
        <v>39</v>
      </c>
      <c r="I17" s="1">
        <v>71924.0</v>
      </c>
    </row>
    <row r="18" ht="14.25" customHeight="1">
      <c r="A18" s="5" t="s">
        <v>33</v>
      </c>
      <c r="B18" s="5" t="s">
        <v>89</v>
      </c>
      <c r="C18" s="5" t="s">
        <v>49</v>
      </c>
      <c r="D18" s="5"/>
      <c r="E18" s="5">
        <v>4.010053E7</v>
      </c>
      <c r="F18" s="5">
        <v>3402.0</v>
      </c>
      <c r="G18" s="5">
        <v>3190.0</v>
      </c>
      <c r="H18" s="9" t="s">
        <v>39</v>
      </c>
      <c r="I18" s="1">
        <v>71925.0</v>
      </c>
    </row>
    <row r="19" ht="14.25" customHeight="1">
      <c r="A19" s="5" t="s">
        <v>33</v>
      </c>
      <c r="B19" s="5" t="s">
        <v>90</v>
      </c>
      <c r="C19" s="5" t="s">
        <v>37</v>
      </c>
      <c r="D19" s="5"/>
      <c r="E19" s="5">
        <v>4.010053E7</v>
      </c>
      <c r="F19" s="5">
        <v>3402.0</v>
      </c>
      <c r="G19" s="5">
        <v>2940.0</v>
      </c>
      <c r="H19" s="9" t="s">
        <v>39</v>
      </c>
      <c r="I19" s="1">
        <v>71926.0</v>
      </c>
    </row>
    <row r="20" ht="14.25" customHeight="1">
      <c r="A20" s="5" t="s">
        <v>33</v>
      </c>
      <c r="B20" s="5" t="s">
        <v>91</v>
      </c>
      <c r="C20" s="5" t="s">
        <v>49</v>
      </c>
      <c r="D20" s="5"/>
      <c r="E20" s="5">
        <v>4.010053E7</v>
      </c>
      <c r="F20" s="5">
        <v>3402.0</v>
      </c>
      <c r="G20" s="5">
        <v>2730.0</v>
      </c>
      <c r="H20" s="9" t="s">
        <v>39</v>
      </c>
      <c r="I20" s="1">
        <v>71927.0</v>
      </c>
    </row>
    <row r="21" ht="14.25" customHeight="1">
      <c r="A21" s="5" t="s">
        <v>33</v>
      </c>
      <c r="B21" s="5" t="s">
        <v>92</v>
      </c>
      <c r="C21" s="5" t="s">
        <v>49</v>
      </c>
      <c r="D21" s="5"/>
      <c r="E21" s="5">
        <v>4.010053E7</v>
      </c>
      <c r="F21" s="5">
        <v>3402.0</v>
      </c>
      <c r="G21" s="5">
        <v>2630.0</v>
      </c>
      <c r="H21" s="9" t="s">
        <v>39</v>
      </c>
      <c r="I21" s="1">
        <v>71928.0</v>
      </c>
    </row>
    <row r="22" ht="14.25" customHeight="1">
      <c r="A22" s="14" t="s">
        <v>33</v>
      </c>
      <c r="B22" s="14" t="s">
        <v>93</v>
      </c>
      <c r="C22" s="14" t="s">
        <v>37</v>
      </c>
      <c r="D22" s="14"/>
      <c r="E22" s="14">
        <v>4.010053E7</v>
      </c>
      <c r="F22" s="14">
        <v>3402.0</v>
      </c>
      <c r="G22" s="5">
        <v>2364.0</v>
      </c>
      <c r="H22" s="9" t="s">
        <v>39</v>
      </c>
      <c r="I22" s="1">
        <v>71929.0</v>
      </c>
    </row>
    <row r="23" ht="14.25" customHeight="1">
      <c r="A23" s="5" t="s">
        <v>33</v>
      </c>
      <c r="B23" s="5" t="s">
        <v>94</v>
      </c>
      <c r="C23" s="5" t="s">
        <v>49</v>
      </c>
      <c r="D23" s="5"/>
      <c r="E23" s="5">
        <v>4.010053E7</v>
      </c>
      <c r="F23" s="5">
        <v>3402.0</v>
      </c>
      <c r="G23" s="5">
        <v>1800.0</v>
      </c>
      <c r="H23" s="9" t="s">
        <v>39</v>
      </c>
      <c r="I23" s="1">
        <v>71930.0</v>
      </c>
    </row>
    <row r="24" ht="14.25" customHeight="1">
      <c r="A24" s="5" t="s">
        <v>33</v>
      </c>
      <c r="B24" s="5" t="s">
        <v>95</v>
      </c>
      <c r="C24" s="5" t="s">
        <v>37</v>
      </c>
      <c r="D24" s="5"/>
      <c r="E24" s="5">
        <v>4.010053E7</v>
      </c>
      <c r="F24" s="5">
        <v>3402.0</v>
      </c>
      <c r="G24" s="5">
        <v>1701.0</v>
      </c>
      <c r="H24" s="9" t="s">
        <v>39</v>
      </c>
      <c r="I24" s="1">
        <v>71931.0</v>
      </c>
    </row>
    <row r="25" ht="14.25" customHeight="1">
      <c r="A25" s="5" t="s">
        <v>33</v>
      </c>
      <c r="B25" s="5" t="s">
        <v>96</v>
      </c>
      <c r="C25" s="5" t="s">
        <v>76</v>
      </c>
      <c r="D25" s="5"/>
      <c r="E25" s="5">
        <v>4.010053E7</v>
      </c>
      <c r="F25" s="5">
        <v>3402.0</v>
      </c>
      <c r="G25" s="5">
        <v>1630.0</v>
      </c>
      <c r="H25" s="9" t="s">
        <v>39</v>
      </c>
      <c r="I25" s="1">
        <v>71932.0</v>
      </c>
    </row>
    <row r="26" ht="14.25" customHeight="1">
      <c r="A26" s="5" t="s">
        <v>33</v>
      </c>
      <c r="B26" s="5" t="s">
        <v>97</v>
      </c>
      <c r="C26" s="5" t="s">
        <v>49</v>
      </c>
      <c r="D26" s="5"/>
      <c r="E26" s="5">
        <v>4.010053E7</v>
      </c>
      <c r="F26" s="5">
        <v>3402.0</v>
      </c>
      <c r="G26" s="5">
        <v>1350.0</v>
      </c>
      <c r="H26" s="9" t="s">
        <v>39</v>
      </c>
      <c r="I26" s="1">
        <v>71933.0</v>
      </c>
    </row>
    <row r="27" ht="14.25" customHeight="1">
      <c r="A27" s="5" t="s">
        <v>33</v>
      </c>
      <c r="B27" s="5" t="s">
        <v>98</v>
      </c>
      <c r="C27" s="5" t="s">
        <v>49</v>
      </c>
      <c r="D27" s="5"/>
      <c r="E27" s="5">
        <v>4.010053E7</v>
      </c>
      <c r="F27" s="5">
        <v>3402.0</v>
      </c>
      <c r="G27" s="5">
        <v>1120.0</v>
      </c>
      <c r="H27" s="9" t="s">
        <v>39</v>
      </c>
      <c r="I27" s="1">
        <v>71934.0</v>
      </c>
    </row>
    <row r="28" ht="14.25" customHeight="1">
      <c r="A28" s="5" t="s">
        <v>33</v>
      </c>
      <c r="B28" s="5" t="s">
        <v>99</v>
      </c>
      <c r="C28" s="5" t="s">
        <v>49</v>
      </c>
      <c r="D28" s="5"/>
      <c r="E28" s="5">
        <v>4.010053E7</v>
      </c>
      <c r="F28" s="5">
        <v>3402.0</v>
      </c>
      <c r="G28" s="5">
        <v>125.0</v>
      </c>
      <c r="H28" s="9" t="s">
        <v>39</v>
      </c>
      <c r="I28" s="1">
        <v>71935.0</v>
      </c>
    </row>
    <row r="29" ht="14.25" customHeight="1">
      <c r="A29" s="5" t="s">
        <v>53</v>
      </c>
      <c r="B29" s="5" t="s">
        <v>100</v>
      </c>
      <c r="C29" s="5" t="s">
        <v>49</v>
      </c>
      <c r="D29" s="5"/>
      <c r="E29" s="5">
        <v>4.01015E7</v>
      </c>
      <c r="F29" s="5">
        <v>3402.0</v>
      </c>
      <c r="G29" s="5">
        <v>9955.0</v>
      </c>
      <c r="H29" s="12" t="s">
        <v>52</v>
      </c>
      <c r="I29" s="1">
        <v>71936.0</v>
      </c>
    </row>
    <row r="30" ht="14.25" customHeight="1">
      <c r="A30" s="5" t="s">
        <v>53</v>
      </c>
      <c r="B30" s="5" t="s">
        <v>101</v>
      </c>
      <c r="C30" s="5" t="s">
        <v>49</v>
      </c>
      <c r="D30" s="5"/>
      <c r="E30" s="5">
        <v>4.01015E7</v>
      </c>
      <c r="F30" s="5">
        <v>3402.0</v>
      </c>
      <c r="G30" s="5">
        <v>9407.0</v>
      </c>
      <c r="H30" s="12" t="s">
        <v>52</v>
      </c>
      <c r="I30" s="1">
        <v>71937.0</v>
      </c>
    </row>
    <row r="31" ht="14.25" customHeight="1">
      <c r="A31" s="5" t="s">
        <v>53</v>
      </c>
      <c r="B31" s="5" t="s">
        <v>102</v>
      </c>
      <c r="C31" s="5" t="s">
        <v>103</v>
      </c>
      <c r="D31" s="5"/>
      <c r="E31" s="5">
        <v>4.01015E7</v>
      </c>
      <c r="F31" s="5">
        <v>3402.0</v>
      </c>
      <c r="G31" s="5">
        <v>4650.0</v>
      </c>
      <c r="H31" s="12" t="s">
        <v>52</v>
      </c>
      <c r="I31" s="1">
        <v>71938.0</v>
      </c>
    </row>
    <row r="32" ht="14.25" customHeight="1">
      <c r="A32" s="15" t="s">
        <v>53</v>
      </c>
      <c r="B32" s="15" t="s">
        <v>104</v>
      </c>
      <c r="C32" s="15" t="s">
        <v>103</v>
      </c>
      <c r="D32" s="15"/>
      <c r="E32" s="15">
        <v>4.01015E7</v>
      </c>
      <c r="F32" s="15">
        <v>3402.0</v>
      </c>
      <c r="G32" s="15">
        <v>4650.0</v>
      </c>
      <c r="H32" s="16" t="s">
        <v>52</v>
      </c>
      <c r="I32" s="1" t="s">
        <v>105</v>
      </c>
    </row>
    <row r="33" ht="14.25" customHeight="1">
      <c r="A33" s="5" t="s">
        <v>53</v>
      </c>
      <c r="B33" s="5" t="s">
        <v>106</v>
      </c>
      <c r="C33" s="5" t="s">
        <v>49</v>
      </c>
      <c r="D33" s="5"/>
      <c r="E33" s="5">
        <v>4.01015E7</v>
      </c>
      <c r="F33" s="5">
        <v>3402.0</v>
      </c>
      <c r="G33" s="5">
        <v>3232.0</v>
      </c>
      <c r="H33" s="12" t="s">
        <v>52</v>
      </c>
      <c r="I33" s="1">
        <v>71939.0</v>
      </c>
    </row>
    <row r="34" ht="14.25" customHeight="1">
      <c r="A34" s="5" t="s">
        <v>53</v>
      </c>
      <c r="B34" s="5" t="s">
        <v>107</v>
      </c>
      <c r="C34" s="5" t="s">
        <v>49</v>
      </c>
      <c r="D34" s="5"/>
      <c r="E34" s="5">
        <v>4.01015E7</v>
      </c>
      <c r="F34" s="5">
        <v>3402.0</v>
      </c>
      <c r="G34" s="5">
        <v>3232.0</v>
      </c>
      <c r="H34" s="12" t="s">
        <v>52</v>
      </c>
      <c r="I34" s="1">
        <v>71940.0</v>
      </c>
    </row>
    <row r="35" ht="14.25" customHeight="1">
      <c r="A35" s="5" t="s">
        <v>53</v>
      </c>
      <c r="B35" s="5" t="s">
        <v>108</v>
      </c>
      <c r="C35" s="5" t="s">
        <v>49</v>
      </c>
      <c r="D35" s="5"/>
      <c r="E35" s="5">
        <v>4.01015E7</v>
      </c>
      <c r="F35" s="5">
        <v>3402.0</v>
      </c>
      <c r="G35" s="5">
        <v>2490.0</v>
      </c>
      <c r="H35" s="12" t="s">
        <v>52</v>
      </c>
      <c r="I35" s="1">
        <v>71941.0</v>
      </c>
    </row>
    <row r="36" ht="14.25" customHeight="1">
      <c r="A36" s="5" t="s">
        <v>53</v>
      </c>
      <c r="B36" s="5" t="s">
        <v>109</v>
      </c>
      <c r="C36" s="5" t="s">
        <v>49</v>
      </c>
      <c r="D36" s="5"/>
      <c r="E36" s="5">
        <v>4.01015E7</v>
      </c>
      <c r="F36" s="5">
        <v>3402.0</v>
      </c>
      <c r="G36" s="5">
        <v>1936.0</v>
      </c>
      <c r="H36" s="12" t="s">
        <v>52</v>
      </c>
      <c r="I36" s="1">
        <v>71942.0</v>
      </c>
    </row>
    <row r="37" ht="14.25" customHeight="1">
      <c r="A37" s="5" t="s">
        <v>53</v>
      </c>
      <c r="B37" s="5" t="s">
        <v>110</v>
      </c>
      <c r="C37" s="5" t="s">
        <v>76</v>
      </c>
      <c r="D37" s="5"/>
      <c r="E37" s="5">
        <v>4.01015E7</v>
      </c>
      <c r="F37" s="5">
        <v>3402.0</v>
      </c>
      <c r="G37" s="5">
        <v>1823.0</v>
      </c>
      <c r="H37" s="12" t="s">
        <v>52</v>
      </c>
      <c r="I37" s="1">
        <v>71943.0</v>
      </c>
    </row>
    <row r="38" ht="14.25" customHeight="1">
      <c r="A38" s="5" t="s">
        <v>53</v>
      </c>
      <c r="B38" s="5" t="s">
        <v>111</v>
      </c>
      <c r="C38" s="5" t="s">
        <v>49</v>
      </c>
      <c r="D38" s="5"/>
      <c r="E38" s="5">
        <v>4.01015E7</v>
      </c>
      <c r="F38" s="5">
        <v>3402.0</v>
      </c>
      <c r="G38" s="5">
        <v>1640.0</v>
      </c>
      <c r="H38" s="12" t="s">
        <v>52</v>
      </c>
      <c r="I38" s="1">
        <v>71944.0</v>
      </c>
    </row>
    <row r="39" ht="14.25" customHeight="1">
      <c r="A39" s="5" t="s">
        <v>53</v>
      </c>
      <c r="B39" s="5" t="s">
        <v>112</v>
      </c>
      <c r="C39" s="5" t="s">
        <v>49</v>
      </c>
      <c r="D39" s="5"/>
      <c r="E39" s="5">
        <v>4.01015E7</v>
      </c>
      <c r="F39" s="5">
        <v>3402.0</v>
      </c>
      <c r="G39" s="5">
        <v>1620.0</v>
      </c>
      <c r="H39" s="12" t="s">
        <v>52</v>
      </c>
      <c r="I39" s="1">
        <v>71945.0</v>
      </c>
    </row>
    <row r="40" ht="14.25" customHeight="1">
      <c r="A40" s="5" t="s">
        <v>53</v>
      </c>
      <c r="B40" s="5" t="s">
        <v>113</v>
      </c>
      <c r="C40" s="5" t="s">
        <v>49</v>
      </c>
      <c r="D40" s="5"/>
      <c r="E40" s="5">
        <v>4.01015E7</v>
      </c>
      <c r="F40" s="5">
        <v>3402.0</v>
      </c>
      <c r="G40" s="5">
        <v>1470.0</v>
      </c>
      <c r="H40" s="12" t="s">
        <v>52</v>
      </c>
      <c r="I40" s="1">
        <v>71946.0</v>
      </c>
    </row>
    <row r="41" ht="14.25" customHeight="1">
      <c r="A41" s="5" t="s">
        <v>53</v>
      </c>
      <c r="B41" s="5" t="s">
        <v>114</v>
      </c>
      <c r="C41" s="5" t="s">
        <v>49</v>
      </c>
      <c r="D41" s="5"/>
      <c r="E41" s="5">
        <v>4.01015E7</v>
      </c>
      <c r="F41" s="5">
        <v>3402.0</v>
      </c>
      <c r="G41" s="5">
        <v>1030.0</v>
      </c>
      <c r="H41" s="12" t="s">
        <v>52</v>
      </c>
      <c r="I41" s="1">
        <v>71947.0</v>
      </c>
    </row>
    <row r="42" ht="14.25" customHeight="1">
      <c r="A42" s="5" t="s">
        <v>53</v>
      </c>
      <c r="B42" s="5" t="s">
        <v>115</v>
      </c>
      <c r="C42" s="5" t="s">
        <v>49</v>
      </c>
      <c r="D42" s="5"/>
      <c r="E42" s="5">
        <v>4.01015E7</v>
      </c>
      <c r="F42" s="5">
        <v>3402.0</v>
      </c>
      <c r="G42" s="5">
        <v>940.0</v>
      </c>
      <c r="H42" s="12" t="s">
        <v>52</v>
      </c>
      <c r="I42" s="1">
        <v>71948.0</v>
      </c>
    </row>
    <row r="43" ht="14.25" customHeight="1">
      <c r="A43" s="5" t="s">
        <v>53</v>
      </c>
      <c r="B43" s="5" t="s">
        <v>116</v>
      </c>
      <c r="C43" s="5" t="s">
        <v>49</v>
      </c>
      <c r="D43" s="5"/>
      <c r="E43" s="5">
        <v>4.01015E7</v>
      </c>
      <c r="F43" s="5">
        <v>3402.0</v>
      </c>
      <c r="G43" s="5">
        <v>930.0</v>
      </c>
      <c r="H43" s="12" t="s">
        <v>52</v>
      </c>
      <c r="I43" s="1">
        <v>71949.0</v>
      </c>
    </row>
    <row r="44" ht="14.25" customHeight="1">
      <c r="A44" s="5" t="s">
        <v>53</v>
      </c>
      <c r="B44" s="5" t="s">
        <v>117</v>
      </c>
      <c r="C44" s="5" t="s">
        <v>49</v>
      </c>
      <c r="D44" s="5"/>
      <c r="E44" s="5">
        <v>4.01015E7</v>
      </c>
      <c r="F44" s="5">
        <v>3402.0</v>
      </c>
      <c r="G44" s="5">
        <v>766.0</v>
      </c>
      <c r="H44" s="12" t="s">
        <v>52</v>
      </c>
      <c r="I44" s="1">
        <v>71950.0</v>
      </c>
    </row>
    <row r="45" ht="14.25" customHeight="1">
      <c r="A45" s="5" t="s">
        <v>53</v>
      </c>
      <c r="B45" s="5" t="s">
        <v>118</v>
      </c>
      <c r="C45" s="5" t="s">
        <v>49</v>
      </c>
      <c r="D45" s="5"/>
      <c r="E45" s="5">
        <v>4.01015E7</v>
      </c>
      <c r="F45" s="5">
        <v>3402.0</v>
      </c>
      <c r="G45" s="5">
        <v>230.0</v>
      </c>
      <c r="H45" s="12" t="s">
        <v>52</v>
      </c>
      <c r="I45" s="1">
        <v>71951.0</v>
      </c>
    </row>
    <row r="46" ht="14.25" customHeight="1">
      <c r="A46" s="5" t="s">
        <v>53</v>
      </c>
      <c r="B46" s="5" t="s">
        <v>119</v>
      </c>
      <c r="C46" s="5" t="s">
        <v>49</v>
      </c>
      <c r="D46" s="5"/>
      <c r="E46" s="5">
        <v>4.01015E7</v>
      </c>
      <c r="F46" s="5">
        <v>3402.0</v>
      </c>
      <c r="G46" s="5">
        <v>170.0</v>
      </c>
      <c r="H46" s="12" t="s">
        <v>52</v>
      </c>
      <c r="I46" s="1">
        <v>71952.0</v>
      </c>
    </row>
    <row r="47" ht="14.25" customHeight="1">
      <c r="A47" s="17" t="s">
        <v>53</v>
      </c>
      <c r="B47" s="17" t="s">
        <v>120</v>
      </c>
      <c r="C47" s="5" t="s">
        <v>49</v>
      </c>
      <c r="D47" s="18">
        <v>52745.0</v>
      </c>
      <c r="E47" s="5">
        <v>4.01015E7</v>
      </c>
      <c r="F47" s="5">
        <v>3402.0</v>
      </c>
      <c r="G47" s="5"/>
      <c r="I47" s="1" t="s">
        <v>105</v>
      </c>
    </row>
    <row r="48" ht="14.25" customHeight="1">
      <c r="A48" s="17" t="s">
        <v>53</v>
      </c>
      <c r="B48" s="17" t="s">
        <v>121</v>
      </c>
      <c r="C48" s="5" t="s">
        <v>49</v>
      </c>
      <c r="D48" s="18">
        <v>62611.0</v>
      </c>
      <c r="E48" s="5">
        <v>4.01015E7</v>
      </c>
      <c r="F48" s="5">
        <v>3402.0</v>
      </c>
      <c r="G48" s="5"/>
      <c r="I48" s="1" t="s">
        <v>105</v>
      </c>
    </row>
    <row r="49" ht="14.25" customHeight="1">
      <c r="A49" s="17" t="s">
        <v>53</v>
      </c>
      <c r="B49" s="17" t="s">
        <v>122</v>
      </c>
      <c r="C49" s="17" t="s">
        <v>49</v>
      </c>
      <c r="D49" s="18">
        <v>62140.0</v>
      </c>
      <c r="E49" s="5">
        <v>4.01015E7</v>
      </c>
      <c r="F49" s="5">
        <v>3402.0</v>
      </c>
      <c r="G49" s="5"/>
      <c r="I49" s="1" t="s">
        <v>105</v>
      </c>
    </row>
    <row r="50" ht="14.25" customHeight="1">
      <c r="A50" s="17" t="s">
        <v>53</v>
      </c>
      <c r="B50" s="17" t="s">
        <v>123</v>
      </c>
      <c r="C50" s="17" t="s">
        <v>49</v>
      </c>
      <c r="D50" s="18">
        <v>2803.0</v>
      </c>
      <c r="E50" s="5">
        <v>4.01015E7</v>
      </c>
      <c r="F50" s="5">
        <v>3402.0</v>
      </c>
      <c r="G50" s="5"/>
      <c r="I50" s="1" t="s">
        <v>105</v>
      </c>
    </row>
    <row r="51" ht="14.25" customHeight="1">
      <c r="A51" s="17" t="s">
        <v>53</v>
      </c>
      <c r="B51" s="17" t="s">
        <v>124</v>
      </c>
      <c r="C51" s="17" t="s">
        <v>49</v>
      </c>
      <c r="D51" s="18">
        <v>2806.0</v>
      </c>
      <c r="E51" s="5">
        <v>4.01015E7</v>
      </c>
      <c r="F51" s="5">
        <v>3402.0</v>
      </c>
      <c r="G51" s="5"/>
      <c r="I51" s="1" t="s">
        <v>105</v>
      </c>
    </row>
    <row r="52" ht="14.25" customHeight="1">
      <c r="A52" s="5" t="s">
        <v>56</v>
      </c>
      <c r="B52" s="5" t="s">
        <v>125</v>
      </c>
      <c r="C52" s="5" t="s">
        <v>49</v>
      </c>
      <c r="D52" s="5"/>
      <c r="E52" s="5">
        <v>4.01015E7</v>
      </c>
      <c r="F52" s="5">
        <v>3402.0</v>
      </c>
      <c r="G52" s="5">
        <v>1471.0</v>
      </c>
      <c r="H52" s="12" t="s">
        <v>55</v>
      </c>
      <c r="I52" s="1">
        <v>71953.0</v>
      </c>
    </row>
    <row r="53" ht="14.25" customHeight="1">
      <c r="A53" s="5" t="s">
        <v>56</v>
      </c>
      <c r="B53" s="5" t="s">
        <v>126</v>
      </c>
      <c r="C53" s="5" t="s">
        <v>49</v>
      </c>
      <c r="D53" s="5"/>
      <c r="E53" s="5">
        <v>4.01015E7</v>
      </c>
      <c r="F53" s="5">
        <v>3402.0</v>
      </c>
      <c r="G53" s="5">
        <v>1471.0</v>
      </c>
      <c r="H53" s="12" t="s">
        <v>55</v>
      </c>
      <c r="I53" s="1">
        <v>71954.0</v>
      </c>
    </row>
    <row r="54" ht="14.25" customHeight="1">
      <c r="A54" s="5" t="s">
        <v>56</v>
      </c>
      <c r="B54" s="5" t="s">
        <v>127</v>
      </c>
      <c r="C54" s="5" t="s">
        <v>49</v>
      </c>
      <c r="D54" s="5"/>
      <c r="E54" s="5">
        <v>4.01015E7</v>
      </c>
      <c r="F54" s="5">
        <v>3402.0</v>
      </c>
      <c r="G54" s="5">
        <v>614.0</v>
      </c>
      <c r="H54" s="12" t="s">
        <v>55</v>
      </c>
      <c r="I54" s="1">
        <v>71955.0</v>
      </c>
    </row>
    <row r="55" ht="14.25" customHeight="1">
      <c r="A55" s="5" t="s">
        <v>56</v>
      </c>
      <c r="B55" s="5" t="s">
        <v>128</v>
      </c>
      <c r="C55" s="5" t="s">
        <v>49</v>
      </c>
      <c r="D55" s="5"/>
      <c r="E55" s="5">
        <v>4.01015E7</v>
      </c>
      <c r="F55" s="5">
        <v>3402.0</v>
      </c>
      <c r="G55" s="5">
        <v>614.0</v>
      </c>
      <c r="H55" s="12" t="s">
        <v>55</v>
      </c>
      <c r="I55" s="1">
        <v>71956.0</v>
      </c>
    </row>
    <row r="56" ht="14.25" customHeight="1">
      <c r="A56" s="5" t="s">
        <v>56</v>
      </c>
      <c r="B56" s="5" t="s">
        <v>129</v>
      </c>
      <c r="C56" s="5" t="s">
        <v>49</v>
      </c>
      <c r="D56" s="5"/>
      <c r="E56" s="5">
        <v>4.01015E7</v>
      </c>
      <c r="F56" s="5">
        <v>3402.0</v>
      </c>
      <c r="G56" s="5">
        <v>517.0</v>
      </c>
      <c r="H56" s="12" t="s">
        <v>55</v>
      </c>
      <c r="I56" s="1">
        <v>71957.0</v>
      </c>
    </row>
    <row r="57" ht="14.25" customHeight="1">
      <c r="A57" s="5" t="s">
        <v>56</v>
      </c>
      <c r="B57" s="5" t="s">
        <v>130</v>
      </c>
      <c r="C57" s="5" t="s">
        <v>49</v>
      </c>
      <c r="D57" s="5"/>
      <c r="E57" s="5">
        <v>4.01015E7</v>
      </c>
      <c r="F57" s="5">
        <v>3402.0</v>
      </c>
      <c r="G57" s="5">
        <v>517.0</v>
      </c>
      <c r="H57" s="12" t="s">
        <v>55</v>
      </c>
      <c r="I57" s="1">
        <v>71958.0</v>
      </c>
    </row>
    <row r="58" ht="14.25" customHeight="1">
      <c r="A58" s="5" t="s">
        <v>56</v>
      </c>
      <c r="B58" s="5" t="s">
        <v>131</v>
      </c>
      <c r="C58" s="5" t="s">
        <v>49</v>
      </c>
      <c r="D58" s="5"/>
      <c r="E58" s="5">
        <v>4.01015E7</v>
      </c>
      <c r="F58" s="5">
        <v>3402.0</v>
      </c>
      <c r="G58" s="5">
        <v>517.0</v>
      </c>
      <c r="H58" s="12" t="s">
        <v>55</v>
      </c>
      <c r="I58" s="1">
        <v>71959.0</v>
      </c>
    </row>
    <row r="59" ht="14.25" customHeight="1">
      <c r="A59" s="5" t="s">
        <v>59</v>
      </c>
      <c r="B59" s="5" t="s">
        <v>132</v>
      </c>
      <c r="C59" s="5" t="s">
        <v>49</v>
      </c>
      <c r="D59" s="5"/>
      <c r="E59" s="5">
        <v>4.01015E7</v>
      </c>
      <c r="F59" s="5">
        <v>3402.0</v>
      </c>
      <c r="G59" s="5">
        <v>82500.0</v>
      </c>
      <c r="H59" s="12" t="s">
        <v>58</v>
      </c>
      <c r="I59" s="1">
        <v>71960.0</v>
      </c>
    </row>
    <row r="60" ht="14.25" customHeight="1">
      <c r="A60" s="5" t="s">
        <v>59</v>
      </c>
      <c r="B60" s="5" t="s">
        <v>133</v>
      </c>
      <c r="C60" s="5" t="s">
        <v>37</v>
      </c>
      <c r="D60" s="5"/>
      <c r="E60" s="5">
        <v>4.01015E7</v>
      </c>
      <c r="F60" s="5">
        <v>3402.0</v>
      </c>
      <c r="G60" s="5">
        <v>23850.0</v>
      </c>
      <c r="H60" s="12" t="s">
        <v>58</v>
      </c>
      <c r="I60" s="1">
        <v>71961.0</v>
      </c>
    </row>
    <row r="61" ht="14.25" customHeight="1">
      <c r="A61" s="5" t="s">
        <v>59</v>
      </c>
      <c r="B61" s="5" t="s">
        <v>134</v>
      </c>
      <c r="C61" s="5" t="s">
        <v>37</v>
      </c>
      <c r="D61" s="5"/>
      <c r="E61" s="5">
        <v>4.010053E7</v>
      </c>
      <c r="F61" s="5">
        <v>3402.0</v>
      </c>
      <c r="G61" s="5">
        <v>17244.0</v>
      </c>
      <c r="H61" s="12" t="s">
        <v>58</v>
      </c>
      <c r="I61" s="1">
        <v>71962.0</v>
      </c>
    </row>
    <row r="62" ht="14.25" customHeight="1">
      <c r="A62" s="5" t="s">
        <v>59</v>
      </c>
      <c r="B62" s="5" t="s">
        <v>135</v>
      </c>
      <c r="C62" s="5" t="s">
        <v>37</v>
      </c>
      <c r="D62" s="5"/>
      <c r="E62" s="5">
        <v>4.010053E7</v>
      </c>
      <c r="F62" s="5">
        <v>3402.0</v>
      </c>
      <c r="G62" s="5">
        <v>14022.0</v>
      </c>
      <c r="H62" s="12" t="s">
        <v>58</v>
      </c>
      <c r="I62" s="1">
        <v>71963.0</v>
      </c>
    </row>
    <row r="63" ht="14.25" customHeight="1">
      <c r="A63" s="5" t="s">
        <v>59</v>
      </c>
      <c r="B63" s="5" t="s">
        <v>136</v>
      </c>
      <c r="C63" s="5" t="s">
        <v>37</v>
      </c>
      <c r="D63" s="5"/>
      <c r="E63" s="5">
        <v>4.01015E7</v>
      </c>
      <c r="F63" s="5">
        <v>3402.0</v>
      </c>
      <c r="G63" s="5">
        <v>10927.0</v>
      </c>
      <c r="H63" s="12" t="s">
        <v>58</v>
      </c>
      <c r="I63" s="1">
        <v>71964.0</v>
      </c>
    </row>
    <row r="64" ht="14.25" customHeight="1">
      <c r="A64" s="5" t="s">
        <v>59</v>
      </c>
      <c r="B64" s="5" t="s">
        <v>137</v>
      </c>
      <c r="C64" s="5" t="s">
        <v>49</v>
      </c>
      <c r="D64" s="5"/>
      <c r="E64" s="5">
        <v>4.010053E7</v>
      </c>
      <c r="F64" s="5">
        <v>3402.0</v>
      </c>
      <c r="G64" s="5">
        <v>4500.0</v>
      </c>
      <c r="H64" s="12" t="s">
        <v>58</v>
      </c>
      <c r="I64" s="1">
        <v>71965.0</v>
      </c>
    </row>
    <row r="65" ht="14.25" customHeight="1">
      <c r="A65" s="5" t="s">
        <v>59</v>
      </c>
      <c r="B65" s="5" t="s">
        <v>138</v>
      </c>
      <c r="C65" s="5" t="s">
        <v>37</v>
      </c>
      <c r="D65" s="5"/>
      <c r="E65" s="5">
        <v>4.01015E7</v>
      </c>
      <c r="F65" s="5">
        <v>3402.0</v>
      </c>
      <c r="G65" s="5">
        <v>2460.0</v>
      </c>
      <c r="H65" s="12" t="s">
        <v>58</v>
      </c>
      <c r="I65" s="1">
        <v>71966.0</v>
      </c>
    </row>
    <row r="66" ht="14.25" customHeight="1">
      <c r="A66" s="5" t="s">
        <v>59</v>
      </c>
      <c r="B66" s="5" t="s">
        <v>139</v>
      </c>
      <c r="C66" s="5" t="s">
        <v>37</v>
      </c>
      <c r="D66" s="5"/>
      <c r="E66" s="5">
        <v>4.01015E7</v>
      </c>
      <c r="F66" s="5">
        <v>3402.0</v>
      </c>
      <c r="G66" s="5">
        <v>1860.0</v>
      </c>
      <c r="H66" s="12" t="s">
        <v>58</v>
      </c>
      <c r="I66" s="1">
        <v>71967.0</v>
      </c>
    </row>
    <row r="67" ht="14.25" customHeight="1">
      <c r="A67" s="5" t="s">
        <v>59</v>
      </c>
      <c r="B67" s="5" t="s">
        <v>140</v>
      </c>
      <c r="C67" s="5" t="s">
        <v>49</v>
      </c>
      <c r="D67" s="5"/>
      <c r="E67" s="5">
        <v>4.01015E7</v>
      </c>
      <c r="F67" s="5">
        <v>3402.0</v>
      </c>
      <c r="G67" s="19">
        <v>374.96031746031747</v>
      </c>
      <c r="H67" s="12" t="s">
        <v>58</v>
      </c>
      <c r="I67" s="1">
        <v>71968.0</v>
      </c>
    </row>
    <row r="68" ht="14.25" customHeight="1">
      <c r="A68" s="5" t="s">
        <v>59</v>
      </c>
      <c r="B68" s="5" t="s">
        <v>141</v>
      </c>
      <c r="C68" s="5" t="s">
        <v>49</v>
      </c>
      <c r="D68" s="5"/>
      <c r="E68" s="5">
        <v>4.01015E7</v>
      </c>
      <c r="F68" s="5">
        <v>3402.0</v>
      </c>
      <c r="G68" s="5">
        <v>325.0</v>
      </c>
      <c r="H68" s="12" t="s">
        <v>58</v>
      </c>
      <c r="I68" s="1">
        <v>71969.0</v>
      </c>
    </row>
    <row r="69" ht="14.25" customHeight="1">
      <c r="A69" s="5" t="s">
        <v>59</v>
      </c>
      <c r="B69" s="5" t="s">
        <v>142</v>
      </c>
      <c r="C69" s="5" t="s">
        <v>49</v>
      </c>
      <c r="D69" s="5"/>
      <c r="E69" s="5">
        <v>4.01015E7</v>
      </c>
      <c r="F69" s="5">
        <v>3402.0</v>
      </c>
      <c r="G69" s="5">
        <v>325.0</v>
      </c>
      <c r="H69" s="12" t="s">
        <v>58</v>
      </c>
      <c r="I69" s="1">
        <v>71970.0</v>
      </c>
    </row>
    <row r="70" ht="14.25" customHeight="1">
      <c r="A70" s="5" t="s">
        <v>59</v>
      </c>
      <c r="B70" s="5" t="s">
        <v>143</v>
      </c>
      <c r="C70" s="5" t="s">
        <v>49</v>
      </c>
      <c r="D70" s="5"/>
      <c r="E70" s="5">
        <v>4.01015E7</v>
      </c>
      <c r="F70" s="5">
        <v>3402.0</v>
      </c>
      <c r="G70" s="5">
        <v>325.0</v>
      </c>
      <c r="H70" s="12" t="s">
        <v>58</v>
      </c>
      <c r="I70" s="1">
        <v>71971.0</v>
      </c>
    </row>
    <row r="71" ht="14.25" customHeight="1">
      <c r="A71" s="5" t="s">
        <v>59</v>
      </c>
      <c r="B71" s="5" t="s">
        <v>144</v>
      </c>
      <c r="C71" s="5" t="s">
        <v>49</v>
      </c>
      <c r="D71" s="5"/>
      <c r="E71" s="5">
        <v>4.01015E7</v>
      </c>
      <c r="F71" s="5">
        <v>3402.0</v>
      </c>
      <c r="G71" s="5">
        <v>325.0</v>
      </c>
      <c r="H71" s="12" t="s">
        <v>58</v>
      </c>
      <c r="I71" s="1">
        <v>71972.0</v>
      </c>
    </row>
    <row r="72" ht="14.25" customHeight="1">
      <c r="A72" s="5" t="s">
        <v>59</v>
      </c>
      <c r="B72" s="5" t="s">
        <v>145</v>
      </c>
      <c r="C72" s="5" t="s">
        <v>49</v>
      </c>
      <c r="D72" s="5"/>
      <c r="E72" s="5">
        <v>4.01015E7</v>
      </c>
      <c r="F72" s="5">
        <v>3402.0</v>
      </c>
      <c r="G72" s="5">
        <v>325.0</v>
      </c>
      <c r="H72" s="12" t="s">
        <v>58</v>
      </c>
      <c r="I72" s="1">
        <v>71973.0</v>
      </c>
    </row>
    <row r="73" ht="14.25" customHeight="1">
      <c r="A73" s="5" t="s">
        <v>59</v>
      </c>
      <c r="B73" s="5" t="s">
        <v>146</v>
      </c>
      <c r="C73" s="5" t="s">
        <v>49</v>
      </c>
      <c r="D73" s="5"/>
      <c r="E73" s="5">
        <v>4.01015E7</v>
      </c>
      <c r="F73" s="5">
        <v>3402.0</v>
      </c>
      <c r="G73" s="19">
        <v>239.53125</v>
      </c>
      <c r="H73" s="12" t="s">
        <v>58</v>
      </c>
      <c r="I73" s="1">
        <v>71974.0</v>
      </c>
    </row>
    <row r="74" ht="14.25" customHeight="1">
      <c r="A74" s="5" t="s">
        <v>59</v>
      </c>
      <c r="B74" s="5" t="s">
        <v>147</v>
      </c>
      <c r="C74" s="5" t="s">
        <v>49</v>
      </c>
      <c r="D74" s="5"/>
      <c r="E74" s="5">
        <v>4.01015E7</v>
      </c>
      <c r="F74" s="5">
        <v>3402.0</v>
      </c>
      <c r="G74" s="19">
        <v>239.53125</v>
      </c>
      <c r="H74" s="12" t="s">
        <v>58</v>
      </c>
      <c r="I74" s="1">
        <v>71975.0</v>
      </c>
    </row>
    <row r="75" ht="14.25" customHeight="1">
      <c r="A75" s="5" t="s">
        <v>59</v>
      </c>
      <c r="B75" s="5" t="s">
        <v>148</v>
      </c>
      <c r="C75" s="5" t="s">
        <v>49</v>
      </c>
      <c r="D75" s="5"/>
      <c r="E75" s="5">
        <v>4.01015E7</v>
      </c>
      <c r="F75" s="5">
        <v>3402.0</v>
      </c>
      <c r="G75" s="19">
        <v>10.5</v>
      </c>
      <c r="H75" s="12" t="s">
        <v>58</v>
      </c>
      <c r="I75" s="1">
        <v>71976.0</v>
      </c>
    </row>
    <row r="76" ht="14.25" customHeight="1">
      <c r="A76" s="17" t="s">
        <v>59</v>
      </c>
      <c r="B76" s="17" t="s">
        <v>149</v>
      </c>
      <c r="C76" s="5" t="s">
        <v>49</v>
      </c>
      <c r="D76" s="5">
        <v>70311.0</v>
      </c>
      <c r="E76" s="5">
        <v>4.01015E7</v>
      </c>
      <c r="F76" s="5">
        <v>3402.0</v>
      </c>
      <c r="G76" s="5"/>
      <c r="I76" s="1" t="s">
        <v>105</v>
      </c>
    </row>
    <row r="77" ht="14.25" customHeight="1">
      <c r="A77" s="17" t="s">
        <v>59</v>
      </c>
      <c r="B77" s="17" t="s">
        <v>150</v>
      </c>
      <c r="C77" s="17" t="s">
        <v>37</v>
      </c>
      <c r="D77" s="5">
        <v>2830.0</v>
      </c>
      <c r="E77" s="5">
        <v>4.01015E7</v>
      </c>
      <c r="F77" s="5">
        <v>3402.0</v>
      </c>
      <c r="G77" s="5"/>
      <c r="I77" s="1" t="s">
        <v>105</v>
      </c>
    </row>
    <row r="78" ht="14.25" customHeight="1">
      <c r="A78" s="5" t="s">
        <v>62</v>
      </c>
      <c r="B78" s="5" t="s">
        <v>151</v>
      </c>
      <c r="C78" s="5" t="s">
        <v>37</v>
      </c>
      <c r="D78" s="5"/>
      <c r="E78" s="5">
        <v>4.010053E7</v>
      </c>
      <c r="F78" s="5">
        <v>3402.0</v>
      </c>
      <c r="G78" s="5">
        <v>7900.0</v>
      </c>
      <c r="H78" s="12" t="s">
        <v>61</v>
      </c>
      <c r="I78" s="1">
        <v>71977.0</v>
      </c>
    </row>
    <row r="79" ht="14.25" customHeight="1">
      <c r="A79" s="5" t="s">
        <v>62</v>
      </c>
      <c r="B79" s="5" t="s">
        <v>152</v>
      </c>
      <c r="C79" s="5" t="s">
        <v>37</v>
      </c>
      <c r="D79" s="5"/>
      <c r="E79" s="5">
        <v>4.010053E7</v>
      </c>
      <c r="F79" s="5">
        <v>3402.0</v>
      </c>
      <c r="G79" s="5">
        <v>7000.0</v>
      </c>
      <c r="H79" s="12" t="s">
        <v>61</v>
      </c>
      <c r="I79" s="1">
        <v>71978.0</v>
      </c>
    </row>
    <row r="80" ht="14.25" customHeight="1">
      <c r="A80" s="5" t="s">
        <v>62</v>
      </c>
      <c r="B80" s="5" t="s">
        <v>153</v>
      </c>
      <c r="C80" s="5" t="s">
        <v>37</v>
      </c>
      <c r="D80" s="5"/>
      <c r="E80" s="5">
        <v>4.010053E7</v>
      </c>
      <c r="F80" s="5">
        <v>3402.0</v>
      </c>
      <c r="G80" s="5">
        <v>6800.0</v>
      </c>
      <c r="H80" s="12" t="s">
        <v>61</v>
      </c>
      <c r="I80" s="1">
        <v>71979.0</v>
      </c>
    </row>
    <row r="81" ht="14.25" customHeight="1">
      <c r="A81" s="5" t="s">
        <v>62</v>
      </c>
      <c r="B81" s="5" t="s">
        <v>154</v>
      </c>
      <c r="C81" s="5" t="s">
        <v>155</v>
      </c>
      <c r="D81" s="5"/>
      <c r="E81" s="5">
        <v>4.010053E7</v>
      </c>
      <c r="F81" s="5">
        <v>3402.0</v>
      </c>
      <c r="G81" s="5">
        <v>6722.0</v>
      </c>
      <c r="H81" s="12" t="s">
        <v>61</v>
      </c>
      <c r="I81" s="1">
        <v>71980.0</v>
      </c>
    </row>
    <row r="82" ht="14.25" customHeight="1">
      <c r="A82" s="5" t="s">
        <v>62</v>
      </c>
      <c r="B82" s="5" t="s">
        <v>156</v>
      </c>
      <c r="C82" s="5" t="s">
        <v>37</v>
      </c>
      <c r="D82" s="5"/>
      <c r="E82" s="5">
        <v>4.010053E7</v>
      </c>
      <c r="F82" s="5">
        <v>3402.0</v>
      </c>
      <c r="G82" s="5">
        <v>6440.0</v>
      </c>
      <c r="H82" s="12" t="s">
        <v>61</v>
      </c>
      <c r="I82" s="1">
        <v>71981.0</v>
      </c>
    </row>
    <row r="83" ht="14.25" customHeight="1">
      <c r="A83" s="5" t="s">
        <v>62</v>
      </c>
      <c r="B83" s="5" t="s">
        <v>157</v>
      </c>
      <c r="C83" s="5" t="s">
        <v>37</v>
      </c>
      <c r="D83" s="5"/>
      <c r="E83" s="5">
        <v>4.010053E7</v>
      </c>
      <c r="F83" s="5">
        <v>3402.0</v>
      </c>
      <c r="G83" s="5">
        <v>6340.0</v>
      </c>
      <c r="H83" s="12" t="s">
        <v>61</v>
      </c>
      <c r="I83" s="1">
        <v>71982.0</v>
      </c>
    </row>
    <row r="84" ht="14.25" customHeight="1">
      <c r="A84" s="5" t="s">
        <v>62</v>
      </c>
      <c r="B84" s="5" t="s">
        <v>158</v>
      </c>
      <c r="C84" s="5" t="s">
        <v>37</v>
      </c>
      <c r="D84" s="5"/>
      <c r="E84" s="5">
        <v>4.010053E7</v>
      </c>
      <c r="F84" s="5">
        <v>3402.0</v>
      </c>
      <c r="G84" s="5">
        <v>6100.0</v>
      </c>
      <c r="H84" s="12" t="s">
        <v>61</v>
      </c>
      <c r="I84" s="1">
        <v>71983.0</v>
      </c>
    </row>
    <row r="85" ht="14.25" customHeight="1">
      <c r="A85" s="5" t="s">
        <v>62</v>
      </c>
      <c r="B85" s="5" t="s">
        <v>159</v>
      </c>
      <c r="C85" s="5" t="s">
        <v>37</v>
      </c>
      <c r="D85" s="5"/>
      <c r="E85" s="5">
        <v>4.010053E7</v>
      </c>
      <c r="F85" s="5">
        <v>3402.0</v>
      </c>
      <c r="G85" s="5">
        <v>5340.0</v>
      </c>
      <c r="H85" s="12" t="s">
        <v>61</v>
      </c>
      <c r="I85" s="1">
        <v>71984.0</v>
      </c>
    </row>
    <row r="86" ht="14.25" customHeight="1">
      <c r="A86" s="5" t="s">
        <v>62</v>
      </c>
      <c r="B86" s="5" t="s">
        <v>160</v>
      </c>
      <c r="C86" s="5" t="s">
        <v>76</v>
      </c>
      <c r="D86" s="5"/>
      <c r="E86" s="5">
        <v>4.010053E7</v>
      </c>
      <c r="F86" s="5">
        <v>3402.0</v>
      </c>
      <c r="G86" s="5">
        <v>5050.0</v>
      </c>
      <c r="H86" s="12" t="s">
        <v>61</v>
      </c>
      <c r="I86" s="1">
        <v>71985.0</v>
      </c>
    </row>
    <row r="87" ht="14.25" customHeight="1">
      <c r="A87" s="5" t="s">
        <v>62</v>
      </c>
      <c r="B87" s="5" t="s">
        <v>161</v>
      </c>
      <c r="C87" s="5" t="s">
        <v>37</v>
      </c>
      <c r="D87" s="5"/>
      <c r="E87" s="5">
        <v>4.010053E7</v>
      </c>
      <c r="F87" s="5">
        <v>3402.0</v>
      </c>
      <c r="G87" s="5">
        <v>4800.0</v>
      </c>
      <c r="H87" s="12" t="s">
        <v>61</v>
      </c>
      <c r="I87" s="1">
        <v>71986.0</v>
      </c>
    </row>
    <row r="88" ht="14.25" customHeight="1">
      <c r="A88" s="5" t="s">
        <v>62</v>
      </c>
      <c r="B88" s="5" t="s">
        <v>162</v>
      </c>
      <c r="C88" s="5" t="s">
        <v>49</v>
      </c>
      <c r="D88" s="5"/>
      <c r="E88" s="5">
        <v>4.010053E7</v>
      </c>
      <c r="F88" s="5">
        <v>3402.0</v>
      </c>
      <c r="G88" s="5">
        <v>4600.0</v>
      </c>
      <c r="H88" s="12" t="s">
        <v>61</v>
      </c>
      <c r="I88" s="1">
        <v>71987.0</v>
      </c>
    </row>
    <row r="89" ht="14.25" customHeight="1">
      <c r="A89" s="5" t="s">
        <v>62</v>
      </c>
      <c r="B89" s="5" t="s">
        <v>163</v>
      </c>
      <c r="C89" s="5" t="s">
        <v>37</v>
      </c>
      <c r="D89" s="5"/>
      <c r="E89" s="5">
        <v>4.010053E7</v>
      </c>
      <c r="F89" s="5">
        <v>3402.0</v>
      </c>
      <c r="G89" s="5">
        <v>4500.0</v>
      </c>
      <c r="H89" s="12" t="s">
        <v>61</v>
      </c>
      <c r="I89" s="1">
        <v>71988.0</v>
      </c>
    </row>
    <row r="90" ht="14.25" customHeight="1">
      <c r="A90" s="5" t="s">
        <v>62</v>
      </c>
      <c r="B90" s="5" t="s">
        <v>164</v>
      </c>
      <c r="C90" s="5" t="s">
        <v>37</v>
      </c>
      <c r="D90" s="5"/>
      <c r="E90" s="5">
        <v>4.010053E7</v>
      </c>
      <c r="F90" s="5">
        <v>3402.0</v>
      </c>
      <c r="G90" s="5">
        <v>4430.0</v>
      </c>
      <c r="H90" s="12" t="s">
        <v>61</v>
      </c>
      <c r="I90" s="1">
        <v>71989.0</v>
      </c>
    </row>
    <row r="91" ht="14.25" customHeight="1">
      <c r="A91" s="5" t="s">
        <v>62</v>
      </c>
      <c r="B91" s="5" t="s">
        <v>165</v>
      </c>
      <c r="C91" s="5" t="s">
        <v>37</v>
      </c>
      <c r="D91" s="5"/>
      <c r="E91" s="5">
        <v>4.010053E7</v>
      </c>
      <c r="F91" s="5">
        <v>3402.0</v>
      </c>
      <c r="G91" s="5">
        <v>4000.0</v>
      </c>
      <c r="H91" s="12" t="s">
        <v>61</v>
      </c>
      <c r="I91" s="1">
        <v>71990.0</v>
      </c>
    </row>
    <row r="92" ht="14.25" customHeight="1">
      <c r="A92" s="5" t="s">
        <v>62</v>
      </c>
      <c r="B92" s="5" t="s">
        <v>166</v>
      </c>
      <c r="C92" s="5" t="s">
        <v>37</v>
      </c>
      <c r="D92" s="5"/>
      <c r="E92" s="5">
        <v>4.010053E7</v>
      </c>
      <c r="F92" s="5">
        <v>3402.0</v>
      </c>
      <c r="G92" s="5">
        <v>4000.0</v>
      </c>
      <c r="H92" s="12" t="s">
        <v>61</v>
      </c>
      <c r="I92" s="1">
        <v>71991.0</v>
      </c>
    </row>
    <row r="93" ht="14.25" customHeight="1">
      <c r="A93" s="5" t="s">
        <v>62</v>
      </c>
      <c r="B93" s="5" t="s">
        <v>167</v>
      </c>
      <c r="C93" s="5" t="s">
        <v>37</v>
      </c>
      <c r="D93" s="5"/>
      <c r="E93" s="5">
        <v>4.010053E7</v>
      </c>
      <c r="F93" s="5">
        <v>3402.0</v>
      </c>
      <c r="G93" s="5">
        <v>3800.0</v>
      </c>
      <c r="H93" s="12" t="s">
        <v>61</v>
      </c>
      <c r="I93" s="1">
        <v>71992.0</v>
      </c>
    </row>
    <row r="94" ht="14.25" customHeight="1">
      <c r="A94" s="5" t="s">
        <v>62</v>
      </c>
      <c r="B94" s="5" t="s">
        <v>168</v>
      </c>
      <c r="C94" s="5" t="s">
        <v>76</v>
      </c>
      <c r="D94" s="5"/>
      <c r="E94" s="5">
        <v>4.010053E7</v>
      </c>
      <c r="F94" s="5">
        <v>3402.0</v>
      </c>
      <c r="G94" s="5">
        <v>3800.0</v>
      </c>
      <c r="H94" s="12" t="s">
        <v>61</v>
      </c>
      <c r="I94" s="1">
        <v>71993.0</v>
      </c>
    </row>
    <row r="95" ht="14.25" customHeight="1">
      <c r="A95" s="5" t="s">
        <v>62</v>
      </c>
      <c r="B95" s="5" t="s">
        <v>169</v>
      </c>
      <c r="C95" s="5" t="s">
        <v>49</v>
      </c>
      <c r="D95" s="5"/>
      <c r="E95" s="5">
        <v>4.010053E7</v>
      </c>
      <c r="F95" s="5">
        <v>3402.0</v>
      </c>
      <c r="G95" s="5">
        <v>2280.0</v>
      </c>
      <c r="H95" s="12" t="s">
        <v>61</v>
      </c>
      <c r="I95" s="1">
        <v>71994.0</v>
      </c>
    </row>
    <row r="96" ht="14.25" customHeight="1">
      <c r="A96" s="5" t="s">
        <v>62</v>
      </c>
      <c r="B96" s="5" t="s">
        <v>170</v>
      </c>
      <c r="C96" s="5" t="s">
        <v>37</v>
      </c>
      <c r="D96" s="5"/>
      <c r="E96" s="5">
        <v>4.010053E7</v>
      </c>
      <c r="F96" s="5">
        <v>3402.0</v>
      </c>
      <c r="G96" s="5">
        <v>1975.0</v>
      </c>
      <c r="H96" s="12" t="s">
        <v>61</v>
      </c>
      <c r="I96" s="1">
        <v>71995.0</v>
      </c>
    </row>
    <row r="97" ht="14.25" customHeight="1">
      <c r="A97" s="5" t="s">
        <v>62</v>
      </c>
      <c r="B97" s="5" t="s">
        <v>171</v>
      </c>
      <c r="C97" s="5" t="s">
        <v>76</v>
      </c>
      <c r="D97" s="5"/>
      <c r="E97" s="5">
        <v>4.010053E7</v>
      </c>
      <c r="F97" s="5">
        <v>3402.0</v>
      </c>
      <c r="G97" s="5">
        <v>1975.0</v>
      </c>
      <c r="H97" s="12" t="s">
        <v>61</v>
      </c>
      <c r="I97" s="1">
        <v>71996.0</v>
      </c>
    </row>
    <row r="98" ht="14.25" customHeight="1">
      <c r="A98" s="5" t="s">
        <v>62</v>
      </c>
      <c r="B98" s="5" t="s">
        <v>172</v>
      </c>
      <c r="C98" s="5" t="s">
        <v>37</v>
      </c>
      <c r="D98" s="5"/>
      <c r="E98" s="5">
        <v>4.010053E7</v>
      </c>
      <c r="F98" s="5">
        <v>3402.0</v>
      </c>
      <c r="G98" s="5">
        <v>495.0</v>
      </c>
      <c r="H98" s="12" t="s">
        <v>61</v>
      </c>
      <c r="I98" s="1">
        <v>71997.0</v>
      </c>
    </row>
    <row r="99" ht="14.25" customHeight="1">
      <c r="A99" s="5" t="s">
        <v>62</v>
      </c>
      <c r="B99" s="5" t="s">
        <v>173</v>
      </c>
      <c r="C99" s="5" t="s">
        <v>49</v>
      </c>
      <c r="D99" s="5"/>
      <c r="E99" s="5">
        <v>4.010053E7</v>
      </c>
      <c r="F99" s="5">
        <v>3402.0</v>
      </c>
      <c r="G99" s="5">
        <v>200.0</v>
      </c>
      <c r="H99" s="12" t="s">
        <v>61</v>
      </c>
      <c r="I99" s="1">
        <v>71998.0</v>
      </c>
    </row>
    <row r="100" ht="14.25" customHeight="1">
      <c r="A100" s="5" t="s">
        <v>65</v>
      </c>
      <c r="B100" s="5" t="s">
        <v>174</v>
      </c>
      <c r="C100" s="5" t="s">
        <v>49</v>
      </c>
      <c r="D100" s="5"/>
      <c r="E100" s="5">
        <v>4.010053E7</v>
      </c>
      <c r="F100" s="5">
        <v>3402.0</v>
      </c>
      <c r="G100" s="5">
        <v>23900.0</v>
      </c>
      <c r="H100" s="12" t="s">
        <v>64</v>
      </c>
      <c r="I100" s="1">
        <v>72000.0</v>
      </c>
    </row>
    <row r="101" ht="14.25" customHeight="1">
      <c r="A101" s="5" t="s">
        <v>65</v>
      </c>
      <c r="B101" s="5" t="s">
        <v>175</v>
      </c>
      <c r="C101" s="5" t="s">
        <v>49</v>
      </c>
      <c r="D101" s="5"/>
      <c r="E101" s="5">
        <v>4.010053E7</v>
      </c>
      <c r="F101" s="5">
        <v>3402.0</v>
      </c>
      <c r="G101" s="5">
        <v>23900.0</v>
      </c>
      <c r="H101" s="12" t="s">
        <v>64</v>
      </c>
      <c r="I101" s="1">
        <v>72001.0</v>
      </c>
    </row>
    <row r="102" ht="14.25" customHeight="1">
      <c r="A102" s="5" t="s">
        <v>65</v>
      </c>
      <c r="B102" s="5" t="s">
        <v>176</v>
      </c>
      <c r="C102" s="5" t="s">
        <v>49</v>
      </c>
      <c r="D102" s="5"/>
      <c r="E102" s="5">
        <v>4.010053E7</v>
      </c>
      <c r="F102" s="5">
        <v>3402.0</v>
      </c>
      <c r="G102" s="5">
        <v>21900.0</v>
      </c>
      <c r="H102" s="12" t="s">
        <v>64</v>
      </c>
      <c r="I102" s="1">
        <v>72002.0</v>
      </c>
    </row>
    <row r="103" ht="14.25" customHeight="1">
      <c r="A103" s="5" t="s">
        <v>65</v>
      </c>
      <c r="B103" s="5" t="s">
        <v>177</v>
      </c>
      <c r="C103" s="5" t="s">
        <v>49</v>
      </c>
      <c r="D103" s="5"/>
      <c r="E103" s="5">
        <v>4.010053E7</v>
      </c>
      <c r="F103" s="5">
        <v>3402.0</v>
      </c>
      <c r="G103" s="5">
        <v>21900.0</v>
      </c>
      <c r="H103" s="12" t="s">
        <v>64</v>
      </c>
      <c r="I103" s="1">
        <v>72003.0</v>
      </c>
    </row>
    <row r="104" ht="14.25" customHeight="1">
      <c r="A104" s="5" t="s">
        <v>65</v>
      </c>
      <c r="B104" s="5" t="s">
        <v>178</v>
      </c>
      <c r="C104" s="5" t="s">
        <v>49</v>
      </c>
      <c r="D104" s="5"/>
      <c r="E104" s="5">
        <v>4.010053E7</v>
      </c>
      <c r="F104" s="5">
        <v>3402.0</v>
      </c>
      <c r="G104" s="5">
        <v>21900.0</v>
      </c>
      <c r="H104" s="12" t="s">
        <v>64</v>
      </c>
      <c r="I104" s="1">
        <v>72004.0</v>
      </c>
    </row>
    <row r="105" ht="14.25" customHeight="1">
      <c r="A105" s="5" t="s">
        <v>65</v>
      </c>
      <c r="B105" s="5" t="s">
        <v>179</v>
      </c>
      <c r="C105" s="5" t="s">
        <v>49</v>
      </c>
      <c r="D105" s="5"/>
      <c r="E105" s="5">
        <v>4.010053E7</v>
      </c>
      <c r="F105" s="5">
        <v>3402.0</v>
      </c>
      <c r="G105" s="5">
        <v>21900.0</v>
      </c>
      <c r="H105" s="12" t="s">
        <v>64</v>
      </c>
      <c r="I105" s="1">
        <v>72005.0</v>
      </c>
    </row>
    <row r="106" ht="14.25" customHeight="1">
      <c r="A106" s="5" t="s">
        <v>65</v>
      </c>
      <c r="B106" s="5" t="s">
        <v>180</v>
      </c>
      <c r="C106" s="5" t="s">
        <v>37</v>
      </c>
      <c r="D106" s="5"/>
      <c r="E106" s="5">
        <v>4.010053E7</v>
      </c>
      <c r="F106" s="5">
        <v>3402.0</v>
      </c>
      <c r="G106" s="5">
        <v>6500.0</v>
      </c>
      <c r="H106" s="12" t="s">
        <v>64</v>
      </c>
      <c r="I106" s="1">
        <v>72006.0</v>
      </c>
    </row>
    <row r="107" ht="14.25" customHeight="1">
      <c r="A107" s="5" t="s">
        <v>65</v>
      </c>
      <c r="B107" s="5" t="s">
        <v>181</v>
      </c>
      <c r="C107" s="5" t="s">
        <v>37</v>
      </c>
      <c r="D107" s="5"/>
      <c r="E107" s="5">
        <v>4.010053E7</v>
      </c>
      <c r="F107" s="5">
        <v>3402.0</v>
      </c>
      <c r="G107" s="5">
        <v>5800.0</v>
      </c>
      <c r="H107" s="12" t="s">
        <v>64</v>
      </c>
      <c r="I107" s="1">
        <v>72007.0</v>
      </c>
    </row>
    <row r="108" ht="14.25" customHeight="1">
      <c r="A108" s="5" t="s">
        <v>65</v>
      </c>
      <c r="B108" s="5" t="s">
        <v>182</v>
      </c>
      <c r="C108" s="5" t="s">
        <v>37</v>
      </c>
      <c r="D108" s="5"/>
      <c r="E108" s="5">
        <v>4.010053E7</v>
      </c>
      <c r="F108" s="5">
        <v>3402.0</v>
      </c>
      <c r="G108" s="5">
        <v>4800.0</v>
      </c>
      <c r="H108" s="12" t="s">
        <v>64</v>
      </c>
      <c r="I108" s="1">
        <v>72008.0</v>
      </c>
    </row>
    <row r="109" ht="14.25" customHeight="1">
      <c r="A109" s="5" t="s">
        <v>65</v>
      </c>
      <c r="B109" s="5" t="s">
        <v>183</v>
      </c>
      <c r="C109" s="5" t="s">
        <v>37</v>
      </c>
      <c r="D109" s="5"/>
      <c r="E109" s="5">
        <v>4.010053E7</v>
      </c>
      <c r="F109" s="5">
        <v>3402.0</v>
      </c>
      <c r="G109" s="5">
        <v>4060.0</v>
      </c>
      <c r="H109" s="12" t="s">
        <v>64</v>
      </c>
      <c r="I109" s="1">
        <v>72009.0</v>
      </c>
    </row>
    <row r="110" ht="14.25" customHeight="1">
      <c r="A110" s="5" t="s">
        <v>65</v>
      </c>
      <c r="B110" s="5" t="s">
        <v>184</v>
      </c>
      <c r="C110" s="5" t="s">
        <v>37</v>
      </c>
      <c r="D110" s="5"/>
      <c r="E110" s="5">
        <v>4.010053E7</v>
      </c>
      <c r="F110" s="5">
        <v>3402.0</v>
      </c>
      <c r="G110" s="5">
        <v>3900.0</v>
      </c>
      <c r="H110" s="12" t="s">
        <v>64</v>
      </c>
      <c r="I110" s="1">
        <v>72010.0</v>
      </c>
    </row>
    <row r="111" ht="14.25" customHeight="1">
      <c r="A111" s="5" t="s">
        <v>65</v>
      </c>
      <c r="B111" s="5" t="s">
        <v>185</v>
      </c>
      <c r="C111" s="5" t="s">
        <v>37</v>
      </c>
      <c r="D111" s="5"/>
      <c r="E111" s="5">
        <v>4.010053E7</v>
      </c>
      <c r="F111" s="5">
        <v>3402.0</v>
      </c>
      <c r="G111" s="5">
        <v>2998.0</v>
      </c>
      <c r="H111" s="12" t="s">
        <v>64</v>
      </c>
      <c r="I111" s="1">
        <v>72011.0</v>
      </c>
    </row>
    <row r="112" ht="14.25" customHeight="1">
      <c r="A112" s="5" t="s">
        <v>65</v>
      </c>
      <c r="B112" s="5" t="s">
        <v>186</v>
      </c>
      <c r="C112" s="5" t="s">
        <v>37</v>
      </c>
      <c r="D112" s="5"/>
      <c r="E112" s="5">
        <v>4.010053E7</v>
      </c>
      <c r="F112" s="5">
        <v>3402.0</v>
      </c>
      <c r="G112" s="5">
        <v>2940.0</v>
      </c>
      <c r="H112" s="12" t="s">
        <v>64</v>
      </c>
      <c r="I112" s="1">
        <v>72012.0</v>
      </c>
    </row>
    <row r="113" ht="14.25" customHeight="1">
      <c r="A113" s="5" t="s">
        <v>65</v>
      </c>
      <c r="B113" s="5" t="s">
        <v>187</v>
      </c>
      <c r="C113" s="5" t="s">
        <v>37</v>
      </c>
      <c r="D113" s="5"/>
      <c r="E113" s="5">
        <v>4.010053E7</v>
      </c>
      <c r="F113" s="5">
        <v>3402.0</v>
      </c>
      <c r="G113" s="5">
        <v>2600.0</v>
      </c>
      <c r="H113" s="12" t="s">
        <v>64</v>
      </c>
      <c r="I113" s="1">
        <v>72161.0</v>
      </c>
    </row>
    <row r="114" ht="14.25" customHeight="1">
      <c r="A114" s="5" t="s">
        <v>65</v>
      </c>
      <c r="B114" s="5" t="s">
        <v>188</v>
      </c>
      <c r="C114" s="5" t="s">
        <v>37</v>
      </c>
      <c r="D114" s="5"/>
      <c r="E114" s="5">
        <v>4.010053E7</v>
      </c>
      <c r="F114" s="5">
        <v>3402.0</v>
      </c>
      <c r="G114" s="5">
        <v>2680.0</v>
      </c>
      <c r="H114" s="12" t="s">
        <v>64</v>
      </c>
      <c r="I114" s="1">
        <v>72013.0</v>
      </c>
    </row>
    <row r="115" ht="14.25" customHeight="1">
      <c r="A115" s="5" t="s">
        <v>65</v>
      </c>
      <c r="B115" s="5" t="s">
        <v>189</v>
      </c>
      <c r="C115" s="5" t="s">
        <v>37</v>
      </c>
      <c r="D115" s="5"/>
      <c r="E115" s="5">
        <v>4.010053E7</v>
      </c>
      <c r="F115" s="5">
        <v>3402.0</v>
      </c>
      <c r="G115" s="5">
        <v>2520.0</v>
      </c>
      <c r="H115" s="12" t="s">
        <v>64</v>
      </c>
      <c r="I115" s="1">
        <v>72014.0</v>
      </c>
    </row>
    <row r="116" ht="14.25" customHeight="1">
      <c r="A116" s="5" t="s">
        <v>68</v>
      </c>
      <c r="B116" s="5" t="s">
        <v>190</v>
      </c>
      <c r="C116" s="5" t="s">
        <v>37</v>
      </c>
      <c r="D116" s="5"/>
      <c r="E116" s="5">
        <v>4.010053E7</v>
      </c>
      <c r="F116" s="5">
        <v>3402.0</v>
      </c>
      <c r="G116" s="5">
        <v>4500.0</v>
      </c>
      <c r="H116" s="12" t="s">
        <v>67</v>
      </c>
      <c r="I116" s="1">
        <v>72015.0</v>
      </c>
    </row>
    <row r="117" ht="14.25" customHeight="1">
      <c r="A117" s="5" t="s">
        <v>68</v>
      </c>
      <c r="B117" s="5" t="s">
        <v>191</v>
      </c>
      <c r="C117" s="5" t="s">
        <v>37</v>
      </c>
      <c r="D117" s="5"/>
      <c r="E117" s="5">
        <v>4.010053E7</v>
      </c>
      <c r="F117" s="5">
        <v>3402.0</v>
      </c>
      <c r="G117" s="5">
        <v>3800.0</v>
      </c>
      <c r="H117" s="12" t="s">
        <v>67</v>
      </c>
      <c r="I117" s="1">
        <v>72016.0</v>
      </c>
    </row>
    <row r="118" ht="14.25" customHeight="1">
      <c r="A118" s="5" t="s">
        <v>68</v>
      </c>
      <c r="B118" s="5" t="s">
        <v>192</v>
      </c>
      <c r="C118" s="5" t="s">
        <v>49</v>
      </c>
      <c r="D118" s="5"/>
      <c r="E118" s="5">
        <v>4.010053E7</v>
      </c>
      <c r="F118" s="5">
        <v>3402.0</v>
      </c>
      <c r="G118" s="5">
        <v>3500.0</v>
      </c>
      <c r="H118" s="12" t="s">
        <v>67</v>
      </c>
      <c r="I118" s="1">
        <v>72017.0</v>
      </c>
    </row>
    <row r="119" ht="14.25" customHeight="1">
      <c r="A119" s="5" t="s">
        <v>68</v>
      </c>
      <c r="B119" s="5" t="s">
        <v>193</v>
      </c>
      <c r="C119" s="5" t="s">
        <v>37</v>
      </c>
      <c r="D119" s="5"/>
      <c r="E119" s="5">
        <v>4.010053E7</v>
      </c>
      <c r="F119" s="5">
        <v>3402.0</v>
      </c>
      <c r="G119" s="5">
        <v>3200.0</v>
      </c>
      <c r="H119" s="12" t="s">
        <v>67</v>
      </c>
      <c r="I119" s="1">
        <v>72018.0</v>
      </c>
    </row>
    <row r="120" ht="14.25" customHeight="1">
      <c r="A120" s="5" t="s">
        <v>68</v>
      </c>
      <c r="B120" s="5" t="s">
        <v>194</v>
      </c>
      <c r="C120" s="5" t="s">
        <v>37</v>
      </c>
      <c r="D120" s="5"/>
      <c r="E120" s="5">
        <v>4.010053E7</v>
      </c>
      <c r="F120" s="5">
        <v>3402.0</v>
      </c>
      <c r="G120" s="5">
        <v>2500.0</v>
      </c>
      <c r="H120" s="12" t="s">
        <v>67</v>
      </c>
      <c r="I120" s="1">
        <v>72019.0</v>
      </c>
    </row>
    <row r="121" ht="14.25" customHeight="1">
      <c r="A121" s="5" t="s">
        <v>68</v>
      </c>
      <c r="B121" s="5" t="s">
        <v>195</v>
      </c>
      <c r="C121" s="5" t="s">
        <v>37</v>
      </c>
      <c r="D121" s="5"/>
      <c r="E121" s="5">
        <v>4.010053E7</v>
      </c>
      <c r="F121" s="5">
        <v>3402.0</v>
      </c>
      <c r="G121" s="5">
        <v>1800.0</v>
      </c>
      <c r="H121" s="12" t="s">
        <v>67</v>
      </c>
      <c r="I121" s="1">
        <v>72020.0</v>
      </c>
    </row>
    <row r="122" ht="14.25" customHeight="1">
      <c r="A122" s="5" t="s">
        <v>68</v>
      </c>
      <c r="B122" s="5" t="s">
        <v>196</v>
      </c>
      <c r="C122" s="5" t="s">
        <v>37</v>
      </c>
      <c r="D122" s="5"/>
      <c r="E122" s="5">
        <v>4.010053E7</v>
      </c>
      <c r="F122" s="5">
        <v>3402.0</v>
      </c>
      <c r="G122" s="5">
        <v>1690.0</v>
      </c>
      <c r="H122" s="12" t="s">
        <v>67</v>
      </c>
      <c r="I122" s="1">
        <v>72021.0</v>
      </c>
    </row>
    <row r="123" ht="14.25" customHeight="1">
      <c r="A123" s="5" t="s">
        <v>68</v>
      </c>
      <c r="B123" s="5" t="s">
        <v>197</v>
      </c>
      <c r="C123" s="5" t="s">
        <v>37</v>
      </c>
      <c r="D123" s="5"/>
      <c r="E123" s="5">
        <v>4.010053E7</v>
      </c>
      <c r="F123" s="5">
        <v>3402.0</v>
      </c>
      <c r="G123" s="5">
        <v>1300.0</v>
      </c>
      <c r="H123" s="12" t="s">
        <v>67</v>
      </c>
      <c r="I123" s="1">
        <v>72022.0</v>
      </c>
    </row>
    <row r="124" ht="14.25" customHeight="1">
      <c r="A124" s="5" t="s">
        <v>71</v>
      </c>
      <c r="B124" s="5" t="s">
        <v>198</v>
      </c>
      <c r="C124" s="5" t="s">
        <v>37</v>
      </c>
      <c r="D124" s="5"/>
      <c r="E124" s="5">
        <v>4.010053E7</v>
      </c>
      <c r="F124" s="5">
        <v>3402.0</v>
      </c>
      <c r="G124" s="5">
        <v>30750.0</v>
      </c>
      <c r="H124" s="12" t="s">
        <v>70</v>
      </c>
      <c r="I124" s="1">
        <v>72023.0</v>
      </c>
    </row>
    <row r="125" ht="14.25" customHeight="1">
      <c r="A125" s="5" t="s">
        <v>71</v>
      </c>
      <c r="B125" s="5" t="s">
        <v>199</v>
      </c>
      <c r="C125" s="5" t="s">
        <v>37</v>
      </c>
      <c r="D125" s="5"/>
      <c r="E125" s="5">
        <v>4.010053E7</v>
      </c>
      <c r="F125" s="5">
        <v>3402.0</v>
      </c>
      <c r="G125" s="5">
        <v>9900.0</v>
      </c>
      <c r="H125" s="12" t="s">
        <v>70</v>
      </c>
      <c r="I125" s="1">
        <v>72024.0</v>
      </c>
    </row>
    <row r="126" ht="14.25" customHeight="1">
      <c r="A126" s="5" t="s">
        <v>71</v>
      </c>
      <c r="B126" s="5" t="s">
        <v>200</v>
      </c>
      <c r="C126" s="5" t="s">
        <v>37</v>
      </c>
      <c r="D126" s="5"/>
      <c r="E126" s="5">
        <v>4.010053E7</v>
      </c>
      <c r="F126" s="5">
        <v>3402.0</v>
      </c>
      <c r="G126" s="5">
        <v>9000.0</v>
      </c>
      <c r="H126" s="12" t="s">
        <v>70</v>
      </c>
      <c r="I126" s="1">
        <v>72025.0</v>
      </c>
    </row>
    <row r="127" ht="14.25" customHeight="1">
      <c r="A127" s="5" t="s">
        <v>71</v>
      </c>
      <c r="B127" s="5" t="s">
        <v>201</v>
      </c>
      <c r="C127" s="5" t="s">
        <v>37</v>
      </c>
      <c r="D127" s="5"/>
      <c r="E127" s="5">
        <v>4.010053E7</v>
      </c>
      <c r="F127" s="5">
        <v>3402.0</v>
      </c>
      <c r="G127" s="5">
        <v>7200.0</v>
      </c>
      <c r="H127" s="12" t="s">
        <v>70</v>
      </c>
      <c r="I127" s="1">
        <v>72026.0</v>
      </c>
    </row>
    <row r="128" ht="14.25" customHeight="1">
      <c r="A128" s="5" t="s">
        <v>71</v>
      </c>
      <c r="B128" s="5" t="s">
        <v>202</v>
      </c>
      <c r="C128" s="5" t="s">
        <v>37</v>
      </c>
      <c r="D128" s="5"/>
      <c r="E128" s="5">
        <v>4.010053E7</v>
      </c>
      <c r="F128" s="5">
        <v>3402.0</v>
      </c>
      <c r="G128" s="5">
        <v>3500.0</v>
      </c>
      <c r="H128" s="12" t="s">
        <v>70</v>
      </c>
      <c r="I128" s="1">
        <v>72027.0</v>
      </c>
    </row>
    <row r="129" ht="14.25" customHeight="1">
      <c r="A129" s="5" t="s">
        <v>74</v>
      </c>
      <c r="B129" s="5" t="s">
        <v>203</v>
      </c>
      <c r="C129" s="5" t="s">
        <v>37</v>
      </c>
      <c r="D129" s="5"/>
      <c r="E129" s="5">
        <v>4.010053E7</v>
      </c>
      <c r="F129" s="5">
        <v>3402.0</v>
      </c>
      <c r="G129" s="5">
        <v>8500.0</v>
      </c>
      <c r="H129" s="12" t="s">
        <v>73</v>
      </c>
      <c r="I129" s="1">
        <v>72028.0</v>
      </c>
    </row>
    <row r="130" ht="14.25" customHeight="1">
      <c r="A130" s="5" t="s">
        <v>78</v>
      </c>
      <c r="B130" s="5" t="s">
        <v>204</v>
      </c>
      <c r="C130" s="5" t="s">
        <v>49</v>
      </c>
      <c r="D130" s="5"/>
      <c r="E130" s="5">
        <v>4.01015E7</v>
      </c>
      <c r="F130" s="5">
        <v>3402.0</v>
      </c>
      <c r="G130" s="5">
        <v>39000.0</v>
      </c>
      <c r="H130" s="12" t="s">
        <v>77</v>
      </c>
      <c r="I130" s="1">
        <v>71785.0</v>
      </c>
    </row>
    <row r="131" ht="14.25" customHeight="1">
      <c r="A131" s="5" t="s">
        <v>78</v>
      </c>
      <c r="B131" s="5" t="s">
        <v>205</v>
      </c>
      <c r="C131" s="5" t="s">
        <v>49</v>
      </c>
      <c r="D131" s="5"/>
      <c r="E131" s="5">
        <v>4.01015E7</v>
      </c>
      <c r="F131" s="5">
        <v>3402.0</v>
      </c>
      <c r="G131" s="5">
        <v>8990.0</v>
      </c>
      <c r="H131" s="12" t="s">
        <v>77</v>
      </c>
      <c r="I131" s="1">
        <v>71786.0</v>
      </c>
    </row>
    <row r="132" ht="14.25" customHeight="1">
      <c r="A132" s="5" t="s">
        <v>78</v>
      </c>
      <c r="B132" s="5" t="s">
        <v>206</v>
      </c>
      <c r="C132" s="5" t="s">
        <v>49</v>
      </c>
      <c r="D132" s="5"/>
      <c r="E132" s="5">
        <v>4.01015E7</v>
      </c>
      <c r="F132" s="5">
        <v>3402.0</v>
      </c>
      <c r="G132" s="5">
        <v>3790.0</v>
      </c>
      <c r="H132" s="12" t="s">
        <v>77</v>
      </c>
      <c r="I132" s="1">
        <v>71787.0</v>
      </c>
    </row>
    <row r="133" ht="14.25" customHeight="1">
      <c r="A133" s="5" t="s">
        <v>78</v>
      </c>
      <c r="B133" s="5" t="s">
        <v>207</v>
      </c>
      <c r="C133" s="5" t="s">
        <v>49</v>
      </c>
      <c r="D133" s="5"/>
      <c r="E133" s="5">
        <v>4.01015E7</v>
      </c>
      <c r="F133" s="5">
        <v>3402.0</v>
      </c>
      <c r="G133" s="5">
        <v>2658.0</v>
      </c>
      <c r="H133" s="12" t="s">
        <v>77</v>
      </c>
      <c r="I133" s="1">
        <v>71788.0</v>
      </c>
    </row>
    <row r="134" ht="14.25" customHeight="1">
      <c r="A134" s="5" t="s">
        <v>78</v>
      </c>
      <c r="B134" s="5" t="s">
        <v>208</v>
      </c>
      <c r="C134" s="5" t="s">
        <v>49</v>
      </c>
      <c r="D134" s="5"/>
      <c r="E134" s="5">
        <v>4.01015E7</v>
      </c>
      <c r="F134" s="5">
        <v>3402.0</v>
      </c>
      <c r="G134" s="5">
        <v>1690.0</v>
      </c>
      <c r="H134" s="12" t="s">
        <v>77</v>
      </c>
      <c r="I134" s="1">
        <v>71789.0</v>
      </c>
    </row>
    <row r="135" ht="14.25" customHeight="1">
      <c r="A135" s="5" t="s">
        <v>78</v>
      </c>
      <c r="B135" s="5" t="s">
        <v>209</v>
      </c>
      <c r="C135" s="5" t="s">
        <v>49</v>
      </c>
      <c r="D135" s="5"/>
      <c r="E135" s="5">
        <v>4.01015E7</v>
      </c>
      <c r="F135" s="5">
        <v>3402.0</v>
      </c>
      <c r="G135" s="19">
        <v>1415.8333333333333</v>
      </c>
      <c r="H135" s="12" t="s">
        <v>77</v>
      </c>
      <c r="I135" s="1">
        <v>71790.0</v>
      </c>
    </row>
    <row r="136" ht="14.25" customHeight="1">
      <c r="A136" s="5" t="s">
        <v>78</v>
      </c>
      <c r="B136" s="5" t="s">
        <v>210</v>
      </c>
      <c r="C136" s="5" t="s">
        <v>49</v>
      </c>
      <c r="D136" s="5"/>
      <c r="E136" s="5">
        <v>4.01015E7</v>
      </c>
      <c r="F136" s="5">
        <v>3402.0</v>
      </c>
      <c r="G136" s="5">
        <v>200.0</v>
      </c>
      <c r="H136" s="12" t="s">
        <v>77</v>
      </c>
      <c r="I136" s="1">
        <v>72031.0</v>
      </c>
    </row>
    <row r="137" ht="14.25" customHeight="1">
      <c r="A137" s="5" t="s">
        <v>78</v>
      </c>
      <c r="B137" s="5" t="s">
        <v>211</v>
      </c>
      <c r="C137" s="5" t="s">
        <v>49</v>
      </c>
      <c r="D137" s="5"/>
      <c r="E137" s="5">
        <v>4.01015E7</v>
      </c>
      <c r="F137" s="5">
        <v>3402.0</v>
      </c>
      <c r="G137" s="5">
        <v>93.0</v>
      </c>
      <c r="H137" s="12" t="s">
        <v>77</v>
      </c>
      <c r="I137" s="1">
        <v>72032.0</v>
      </c>
    </row>
    <row r="138" ht="14.25" customHeight="1">
      <c r="A138" s="5" t="s">
        <v>78</v>
      </c>
      <c r="B138" s="5" t="s">
        <v>212</v>
      </c>
      <c r="C138" s="5" t="s">
        <v>49</v>
      </c>
      <c r="D138" s="5"/>
      <c r="E138" s="5">
        <v>4.01015E7</v>
      </c>
      <c r="F138" s="5">
        <v>3402.0</v>
      </c>
      <c r="G138" s="5">
        <v>40.0</v>
      </c>
      <c r="H138" s="12" t="s">
        <v>77</v>
      </c>
      <c r="I138" s="1">
        <v>72033.0</v>
      </c>
    </row>
    <row r="139" ht="14.25" customHeight="1">
      <c r="A139" s="5" t="s">
        <v>78</v>
      </c>
      <c r="B139" s="5" t="s">
        <v>213</v>
      </c>
      <c r="C139" s="5" t="s">
        <v>49</v>
      </c>
      <c r="D139" s="5"/>
      <c r="E139" s="5">
        <v>4.01015E7</v>
      </c>
      <c r="F139" s="5">
        <v>3402.0</v>
      </c>
      <c r="G139" s="5">
        <v>33.0</v>
      </c>
      <c r="H139" s="12" t="s">
        <v>77</v>
      </c>
      <c r="I139" s="1">
        <v>72034.0</v>
      </c>
    </row>
    <row r="140" ht="14.25" customHeight="1">
      <c r="A140" s="17" t="s">
        <v>78</v>
      </c>
      <c r="B140" s="17" t="s">
        <v>214</v>
      </c>
      <c r="C140" s="5" t="s">
        <v>49</v>
      </c>
      <c r="D140" s="5">
        <v>53930.0</v>
      </c>
      <c r="E140" s="5">
        <v>4.01015E7</v>
      </c>
      <c r="F140" s="5">
        <v>3402.0</v>
      </c>
      <c r="G140" s="5"/>
      <c r="I140" s="1" t="s">
        <v>105</v>
      </c>
    </row>
    <row r="141" ht="14.25" customHeight="1">
      <c r="A141" s="17" t="s">
        <v>78</v>
      </c>
      <c r="B141" s="17" t="s">
        <v>215</v>
      </c>
      <c r="C141" s="5" t="s">
        <v>49</v>
      </c>
      <c r="D141" s="5">
        <v>2796.0</v>
      </c>
      <c r="E141" s="5">
        <v>4.01015E7</v>
      </c>
      <c r="F141" s="5">
        <v>3402.0</v>
      </c>
      <c r="G141" s="5"/>
      <c r="I141" s="1" t="s">
        <v>105</v>
      </c>
    </row>
    <row r="142" ht="14.25" customHeight="1">
      <c r="A142" s="5" t="s">
        <v>81</v>
      </c>
      <c r="B142" s="5" t="s">
        <v>216</v>
      </c>
      <c r="C142" s="5" t="s">
        <v>37</v>
      </c>
      <c r="D142" s="5"/>
      <c r="E142" s="5">
        <v>4.010053E7</v>
      </c>
      <c r="F142" s="5">
        <v>3402.0</v>
      </c>
      <c r="G142" s="5">
        <v>18000.0</v>
      </c>
      <c r="H142" s="12" t="s">
        <v>80</v>
      </c>
      <c r="I142" s="1">
        <v>72035.0</v>
      </c>
    </row>
    <row r="143" ht="14.25" customHeight="1">
      <c r="A143" s="5" t="s">
        <v>81</v>
      </c>
      <c r="B143" s="5" t="s">
        <v>217</v>
      </c>
      <c r="C143" s="5" t="s">
        <v>37</v>
      </c>
      <c r="D143" s="5"/>
      <c r="E143" s="5">
        <v>4.010053E7</v>
      </c>
      <c r="F143" s="5">
        <v>3402.0</v>
      </c>
      <c r="G143" s="5">
        <v>10900.0</v>
      </c>
      <c r="H143" s="12" t="s">
        <v>80</v>
      </c>
      <c r="I143" s="1">
        <v>72036.0</v>
      </c>
    </row>
    <row r="144" ht="14.25" customHeight="1">
      <c r="A144" s="5" t="s">
        <v>81</v>
      </c>
      <c r="B144" s="5" t="s">
        <v>218</v>
      </c>
      <c r="C144" s="5" t="s">
        <v>37</v>
      </c>
      <c r="D144" s="5"/>
      <c r="E144" s="5">
        <v>4.010053E7</v>
      </c>
      <c r="F144" s="5">
        <v>3402.0</v>
      </c>
      <c r="G144" s="5">
        <v>9368.0</v>
      </c>
      <c r="H144" s="12" t="s">
        <v>80</v>
      </c>
      <c r="I144" s="1">
        <v>72037.0</v>
      </c>
    </row>
    <row r="145" ht="14.25" customHeight="1">
      <c r="A145" s="5" t="s">
        <v>81</v>
      </c>
      <c r="B145" s="5" t="s">
        <v>219</v>
      </c>
      <c r="C145" s="5" t="s">
        <v>37</v>
      </c>
      <c r="D145" s="5"/>
      <c r="E145" s="5">
        <v>4.010053E7</v>
      </c>
      <c r="F145" s="5">
        <v>3402.0</v>
      </c>
      <c r="G145" s="5">
        <v>8000.0</v>
      </c>
      <c r="H145" s="12" t="s">
        <v>80</v>
      </c>
      <c r="I145" s="1">
        <v>72038.0</v>
      </c>
    </row>
    <row r="146" ht="14.25" customHeight="1">
      <c r="A146" s="5" t="s">
        <v>81</v>
      </c>
      <c r="B146" s="5" t="s">
        <v>220</v>
      </c>
      <c r="C146" s="5" t="s">
        <v>49</v>
      </c>
      <c r="D146" s="5"/>
      <c r="E146" s="5">
        <v>4.010053E7</v>
      </c>
      <c r="F146" s="5">
        <v>3402.0</v>
      </c>
      <c r="G146" s="5">
        <v>7460.0</v>
      </c>
      <c r="H146" s="12" t="s">
        <v>80</v>
      </c>
      <c r="I146" s="1">
        <v>72039.0</v>
      </c>
    </row>
    <row r="147" ht="14.25" customHeight="1">
      <c r="A147" s="5" t="s">
        <v>81</v>
      </c>
      <c r="B147" s="5" t="s">
        <v>221</v>
      </c>
      <c r="C147" s="5" t="s">
        <v>37</v>
      </c>
      <c r="D147" s="5"/>
      <c r="E147" s="5">
        <v>4.010053E7</v>
      </c>
      <c r="F147" s="5">
        <v>3402.0</v>
      </c>
      <c r="G147" s="5">
        <v>6330.0</v>
      </c>
      <c r="H147" s="12" t="s">
        <v>80</v>
      </c>
      <c r="I147" s="1">
        <v>72040.0</v>
      </c>
    </row>
    <row r="148" ht="14.25" customHeight="1">
      <c r="A148" s="5" t="s">
        <v>81</v>
      </c>
      <c r="B148" s="5" t="s">
        <v>222</v>
      </c>
      <c r="C148" s="5" t="s">
        <v>49</v>
      </c>
      <c r="D148" s="5"/>
      <c r="E148" s="5">
        <v>4.010053E7</v>
      </c>
      <c r="F148" s="5">
        <v>3402.0</v>
      </c>
      <c r="G148" s="5">
        <v>4750.0</v>
      </c>
      <c r="H148" s="12" t="s">
        <v>80</v>
      </c>
      <c r="I148" s="1">
        <v>72041.0</v>
      </c>
    </row>
    <row r="149" ht="14.25" customHeight="1">
      <c r="A149" s="5" t="s">
        <v>81</v>
      </c>
      <c r="B149" s="5" t="s">
        <v>223</v>
      </c>
      <c r="C149" s="5" t="s">
        <v>37</v>
      </c>
      <c r="D149" s="5"/>
      <c r="E149" s="5">
        <v>4.010053E7</v>
      </c>
      <c r="F149" s="5">
        <v>3402.0</v>
      </c>
      <c r="G149" s="5">
        <v>1780.0</v>
      </c>
      <c r="H149" s="12" t="s">
        <v>80</v>
      </c>
      <c r="I149" s="1">
        <v>72042.0</v>
      </c>
    </row>
    <row r="150" ht="14.25" customHeight="1">
      <c r="A150" s="5" t="s">
        <v>81</v>
      </c>
      <c r="B150" s="5" t="s">
        <v>224</v>
      </c>
      <c r="C150" s="5" t="s">
        <v>49</v>
      </c>
      <c r="D150" s="5"/>
      <c r="E150" s="5">
        <v>4.010053E7</v>
      </c>
      <c r="F150" s="5">
        <v>3402.0</v>
      </c>
      <c r="G150" s="5">
        <v>1760.0</v>
      </c>
      <c r="H150" s="12" t="s">
        <v>80</v>
      </c>
      <c r="I150" s="1">
        <v>72043.0</v>
      </c>
    </row>
    <row r="151" ht="14.25" customHeight="1">
      <c r="A151" s="5" t="s">
        <v>81</v>
      </c>
      <c r="B151" s="5" t="s">
        <v>225</v>
      </c>
      <c r="C151" s="5" t="s">
        <v>49</v>
      </c>
      <c r="D151" s="5"/>
      <c r="E151" s="5">
        <v>4.010053E7</v>
      </c>
      <c r="F151" s="5">
        <v>3402.0</v>
      </c>
      <c r="G151" s="5">
        <v>1750.0</v>
      </c>
      <c r="H151" s="12" t="s">
        <v>80</v>
      </c>
      <c r="I151" s="1">
        <v>72044.0</v>
      </c>
    </row>
    <row r="152" ht="14.25" customHeight="1">
      <c r="A152" s="5" t="s">
        <v>81</v>
      </c>
      <c r="B152" s="5" t="s">
        <v>226</v>
      </c>
      <c r="C152" s="5" t="s">
        <v>49</v>
      </c>
      <c r="D152" s="5"/>
      <c r="E152" s="5">
        <v>4.010053E7</v>
      </c>
      <c r="F152" s="5">
        <v>3402.0</v>
      </c>
      <c r="G152" s="5">
        <v>1530.0</v>
      </c>
      <c r="H152" s="12" t="s">
        <v>80</v>
      </c>
      <c r="I152" s="1">
        <v>72045.0</v>
      </c>
    </row>
    <row r="153" ht="14.25" customHeight="1">
      <c r="A153" s="5" t="s">
        <v>81</v>
      </c>
      <c r="B153" s="5" t="s">
        <v>227</v>
      </c>
      <c r="C153" s="5" t="s">
        <v>49</v>
      </c>
      <c r="D153" s="5"/>
      <c r="E153" s="5">
        <v>4.010053E7</v>
      </c>
      <c r="F153" s="5">
        <v>3402.0</v>
      </c>
      <c r="G153" s="5">
        <v>1400.0</v>
      </c>
      <c r="H153" s="12" t="s">
        <v>80</v>
      </c>
      <c r="I153" s="1">
        <v>72046.0</v>
      </c>
    </row>
    <row r="154" ht="14.25" customHeight="1">
      <c r="A154" s="5" t="s">
        <v>84</v>
      </c>
      <c r="B154" s="5" t="s">
        <v>228</v>
      </c>
      <c r="C154" s="5" t="s">
        <v>37</v>
      </c>
      <c r="D154" s="5"/>
      <c r="E154" s="5">
        <v>4.010053E7</v>
      </c>
      <c r="F154" s="5">
        <v>3402.0</v>
      </c>
      <c r="G154" s="5">
        <v>26950.0</v>
      </c>
      <c r="H154" s="12" t="s">
        <v>83</v>
      </c>
      <c r="I154" s="1">
        <v>72047.0</v>
      </c>
    </row>
    <row r="155" ht="14.25" customHeight="1">
      <c r="A155" s="5" t="s">
        <v>84</v>
      </c>
      <c r="B155" s="5" t="s">
        <v>229</v>
      </c>
      <c r="C155" s="5" t="s">
        <v>37</v>
      </c>
      <c r="D155" s="5"/>
      <c r="E155" s="5">
        <v>4.010053E7</v>
      </c>
      <c r="F155" s="5">
        <v>3402.0</v>
      </c>
      <c r="G155" s="5">
        <v>25490.0</v>
      </c>
      <c r="H155" s="12" t="s">
        <v>83</v>
      </c>
      <c r="I155" s="1">
        <v>72049.0</v>
      </c>
    </row>
    <row r="156" ht="14.25" customHeight="1">
      <c r="A156" s="5" t="s">
        <v>84</v>
      </c>
      <c r="B156" s="5" t="s">
        <v>230</v>
      </c>
      <c r="C156" s="5" t="s">
        <v>37</v>
      </c>
      <c r="D156" s="5"/>
      <c r="E156" s="5">
        <v>4.010053E7</v>
      </c>
      <c r="F156" s="5">
        <v>3402.0</v>
      </c>
      <c r="G156" s="5">
        <v>19990.0</v>
      </c>
      <c r="H156" s="12" t="s">
        <v>83</v>
      </c>
      <c r="I156" s="1">
        <v>72050.0</v>
      </c>
    </row>
    <row r="157" ht="14.25" customHeight="1">
      <c r="A157" s="5" t="s">
        <v>84</v>
      </c>
      <c r="B157" s="5" t="s">
        <v>231</v>
      </c>
      <c r="C157" s="5" t="s">
        <v>37</v>
      </c>
      <c r="D157" s="5"/>
      <c r="E157" s="5">
        <v>4.010053E7</v>
      </c>
      <c r="F157" s="5">
        <v>3402.0</v>
      </c>
      <c r="G157" s="5">
        <v>14970.0</v>
      </c>
      <c r="H157" s="12" t="s">
        <v>83</v>
      </c>
      <c r="I157" s="1">
        <v>72051.0</v>
      </c>
    </row>
    <row r="158" ht="14.25" customHeight="1">
      <c r="A158" s="5" t="s">
        <v>84</v>
      </c>
      <c r="B158" s="5" t="s">
        <v>232</v>
      </c>
      <c r="C158" s="5" t="s">
        <v>37</v>
      </c>
      <c r="D158" s="5"/>
      <c r="E158" s="5">
        <v>4.010053E7</v>
      </c>
      <c r="F158" s="5">
        <v>3402.0</v>
      </c>
      <c r="G158" s="5">
        <v>14350.0</v>
      </c>
      <c r="H158" s="12" t="s">
        <v>83</v>
      </c>
      <c r="I158" s="1">
        <v>72052.0</v>
      </c>
    </row>
    <row r="159" ht="14.25" customHeight="1">
      <c r="A159" s="5" t="s">
        <v>84</v>
      </c>
      <c r="B159" s="5" t="s">
        <v>233</v>
      </c>
      <c r="C159" s="5" t="s">
        <v>37</v>
      </c>
      <c r="D159" s="5"/>
      <c r="E159" s="5">
        <v>4.010053E7</v>
      </c>
      <c r="F159" s="5">
        <v>3402.0</v>
      </c>
      <c r="G159" s="5">
        <v>14300.0</v>
      </c>
      <c r="H159" s="12" t="s">
        <v>83</v>
      </c>
      <c r="I159" s="1">
        <v>72053.0</v>
      </c>
    </row>
    <row r="160" ht="14.25" customHeight="1">
      <c r="A160" s="5" t="s">
        <v>84</v>
      </c>
      <c r="B160" s="5" t="s">
        <v>234</v>
      </c>
      <c r="C160" s="5" t="s">
        <v>37</v>
      </c>
      <c r="D160" s="5"/>
      <c r="E160" s="5">
        <v>4.010053E7</v>
      </c>
      <c r="F160" s="5">
        <v>3402.0</v>
      </c>
      <c r="G160" s="5">
        <v>13990.0</v>
      </c>
      <c r="H160" s="12" t="s">
        <v>83</v>
      </c>
      <c r="I160" s="1">
        <v>72054.0</v>
      </c>
    </row>
    <row r="161" ht="14.25" customHeight="1">
      <c r="A161" s="5" t="s">
        <v>84</v>
      </c>
      <c r="B161" s="5" t="s">
        <v>235</v>
      </c>
      <c r="C161" s="5" t="s">
        <v>37</v>
      </c>
      <c r="D161" s="5"/>
      <c r="E161" s="5">
        <v>4.010053E7</v>
      </c>
      <c r="F161" s="5">
        <v>3402.0</v>
      </c>
      <c r="G161" s="5">
        <v>13762.0</v>
      </c>
      <c r="H161" s="12" t="s">
        <v>83</v>
      </c>
      <c r="I161" s="1">
        <v>72055.0</v>
      </c>
    </row>
    <row r="162" ht="14.25" customHeight="1">
      <c r="A162" s="5" t="s">
        <v>84</v>
      </c>
      <c r="B162" s="5" t="s">
        <v>236</v>
      </c>
      <c r="C162" s="5" t="s">
        <v>37</v>
      </c>
      <c r="D162" s="5"/>
      <c r="E162" s="5">
        <v>4.010053E7</v>
      </c>
      <c r="F162" s="5">
        <v>3402.0</v>
      </c>
      <c r="G162" s="5">
        <v>13761.0</v>
      </c>
      <c r="H162" s="12" t="s">
        <v>83</v>
      </c>
      <c r="I162" s="1">
        <v>72056.0</v>
      </c>
    </row>
    <row r="163" ht="14.25" customHeight="1">
      <c r="A163" s="5" t="s">
        <v>84</v>
      </c>
      <c r="B163" s="5" t="s">
        <v>237</v>
      </c>
      <c r="C163" s="5" t="s">
        <v>37</v>
      </c>
      <c r="D163" s="5"/>
      <c r="E163" s="5">
        <v>4.010053E7</v>
      </c>
      <c r="F163" s="5">
        <v>3402.0</v>
      </c>
      <c r="G163" s="5">
        <v>13390.0</v>
      </c>
      <c r="H163" s="12" t="s">
        <v>83</v>
      </c>
      <c r="I163" s="1">
        <v>72057.0</v>
      </c>
    </row>
    <row r="164" ht="14.25" customHeight="1">
      <c r="A164" s="5" t="s">
        <v>84</v>
      </c>
      <c r="B164" s="5" t="s">
        <v>238</v>
      </c>
      <c r="C164" s="5" t="s">
        <v>37</v>
      </c>
      <c r="D164" s="5"/>
      <c r="E164" s="5">
        <v>4.010053E7</v>
      </c>
      <c r="F164" s="5">
        <v>3402.0</v>
      </c>
      <c r="G164" s="5">
        <v>13188.0</v>
      </c>
      <c r="H164" s="12" t="s">
        <v>83</v>
      </c>
      <c r="I164" s="1">
        <v>72058.0</v>
      </c>
    </row>
    <row r="165" ht="14.25" customHeight="1">
      <c r="A165" s="5" t="s">
        <v>84</v>
      </c>
      <c r="B165" s="5" t="s">
        <v>239</v>
      </c>
      <c r="C165" s="5" t="s">
        <v>37</v>
      </c>
      <c r="D165" s="5"/>
      <c r="E165" s="5">
        <v>4.010053E7</v>
      </c>
      <c r="F165" s="5">
        <v>3402.0</v>
      </c>
      <c r="G165" s="5">
        <v>13000.0</v>
      </c>
      <c r="H165" s="12" t="s">
        <v>83</v>
      </c>
      <c r="I165" s="1">
        <v>72059.0</v>
      </c>
    </row>
    <row r="166" ht="14.25" customHeight="1">
      <c r="A166" s="5" t="s">
        <v>84</v>
      </c>
      <c r="B166" s="5" t="s">
        <v>240</v>
      </c>
      <c r="C166" s="5" t="s">
        <v>37</v>
      </c>
      <c r="D166" s="5"/>
      <c r="E166" s="5">
        <v>4.010053E7</v>
      </c>
      <c r="F166" s="5">
        <v>3402.0</v>
      </c>
      <c r="G166" s="5">
        <v>12990.0</v>
      </c>
      <c r="H166" s="12" t="s">
        <v>83</v>
      </c>
      <c r="I166" s="1">
        <v>72060.0</v>
      </c>
    </row>
    <row r="167" ht="14.25" customHeight="1">
      <c r="A167" s="5" t="s">
        <v>84</v>
      </c>
      <c r="B167" s="5" t="s">
        <v>241</v>
      </c>
      <c r="C167" s="5" t="s">
        <v>37</v>
      </c>
      <c r="D167" s="5"/>
      <c r="E167" s="5">
        <v>4.010053E7</v>
      </c>
      <c r="F167" s="5">
        <v>3402.0</v>
      </c>
      <c r="G167" s="5">
        <v>12400.0</v>
      </c>
      <c r="H167" s="12" t="s">
        <v>83</v>
      </c>
      <c r="I167" s="1">
        <v>72061.0</v>
      </c>
    </row>
    <row r="168" ht="14.25" customHeight="1">
      <c r="A168" s="5" t="s">
        <v>84</v>
      </c>
      <c r="B168" s="5" t="s">
        <v>242</v>
      </c>
      <c r="C168" s="5" t="s">
        <v>37</v>
      </c>
      <c r="D168" s="5"/>
      <c r="E168" s="5">
        <v>4.010053E7</v>
      </c>
      <c r="F168" s="5">
        <v>3402.0</v>
      </c>
      <c r="G168" s="5">
        <v>11990.0</v>
      </c>
      <c r="H168" s="12" t="s">
        <v>83</v>
      </c>
      <c r="I168" s="1">
        <v>72062.0</v>
      </c>
    </row>
    <row r="169" ht="14.25" customHeight="1">
      <c r="A169" s="5" t="s">
        <v>84</v>
      </c>
      <c r="B169" s="5" t="s">
        <v>243</v>
      </c>
      <c r="C169" s="5" t="s">
        <v>37</v>
      </c>
      <c r="D169" s="5"/>
      <c r="E169" s="5">
        <v>4.010053E7</v>
      </c>
      <c r="F169" s="5">
        <v>3402.0</v>
      </c>
      <c r="G169" s="5">
        <v>11790.0</v>
      </c>
      <c r="H169" s="12" t="s">
        <v>83</v>
      </c>
      <c r="I169" s="1">
        <v>72063.0</v>
      </c>
    </row>
    <row r="170" ht="14.25" customHeight="1">
      <c r="A170" s="5" t="s">
        <v>84</v>
      </c>
      <c r="B170" s="5" t="s">
        <v>244</v>
      </c>
      <c r="C170" s="5" t="s">
        <v>37</v>
      </c>
      <c r="D170" s="5"/>
      <c r="E170" s="5">
        <v>4.010053E7</v>
      </c>
      <c r="F170" s="5">
        <v>3402.0</v>
      </c>
      <c r="G170" s="5">
        <v>11230.0</v>
      </c>
      <c r="H170" s="12" t="s">
        <v>83</v>
      </c>
      <c r="I170" s="1">
        <v>72064.0</v>
      </c>
    </row>
    <row r="171" ht="14.25" customHeight="1">
      <c r="A171" s="5" t="s">
        <v>84</v>
      </c>
      <c r="B171" s="5" t="s">
        <v>245</v>
      </c>
      <c r="C171" s="5" t="s">
        <v>37</v>
      </c>
      <c r="D171" s="5"/>
      <c r="E171" s="5">
        <v>4.010053E7</v>
      </c>
      <c r="F171" s="5">
        <v>3402.0</v>
      </c>
      <c r="G171" s="5">
        <v>10990.0</v>
      </c>
      <c r="H171" s="12" t="s">
        <v>83</v>
      </c>
      <c r="I171" s="1">
        <v>72065.0</v>
      </c>
    </row>
    <row r="172" ht="14.25" customHeight="1">
      <c r="A172" s="5" t="s">
        <v>84</v>
      </c>
      <c r="B172" s="5" t="s">
        <v>246</v>
      </c>
      <c r="C172" s="5" t="s">
        <v>37</v>
      </c>
      <c r="D172" s="5"/>
      <c r="E172" s="5">
        <v>4.010053E7</v>
      </c>
      <c r="F172" s="5">
        <v>3402.0</v>
      </c>
      <c r="G172" s="5">
        <v>10200.0</v>
      </c>
      <c r="H172" s="12" t="s">
        <v>83</v>
      </c>
      <c r="I172" s="1">
        <v>72066.0</v>
      </c>
    </row>
    <row r="173" ht="14.25" customHeight="1">
      <c r="A173" s="5" t="s">
        <v>84</v>
      </c>
      <c r="B173" s="5" t="s">
        <v>247</v>
      </c>
      <c r="C173" s="5" t="s">
        <v>37</v>
      </c>
      <c r="D173" s="5"/>
      <c r="E173" s="5">
        <v>4.010053E7</v>
      </c>
      <c r="F173" s="5">
        <v>3402.0</v>
      </c>
      <c r="G173" s="5">
        <v>9820.0</v>
      </c>
      <c r="H173" s="12" t="s">
        <v>83</v>
      </c>
      <c r="I173" s="1">
        <v>72067.0</v>
      </c>
    </row>
    <row r="174" ht="14.25" customHeight="1">
      <c r="A174" s="5" t="s">
        <v>84</v>
      </c>
      <c r="B174" s="5" t="s">
        <v>248</v>
      </c>
      <c r="C174" s="5" t="s">
        <v>37</v>
      </c>
      <c r="D174" s="5"/>
      <c r="E174" s="5">
        <v>4.010053E7</v>
      </c>
      <c r="F174" s="5">
        <v>3402.0</v>
      </c>
      <c r="G174" s="5">
        <v>8590.0</v>
      </c>
      <c r="H174" s="12" t="s">
        <v>83</v>
      </c>
      <c r="I174" s="1">
        <v>72068.0</v>
      </c>
    </row>
    <row r="175" ht="14.25" customHeight="1">
      <c r="A175" s="5" t="s">
        <v>84</v>
      </c>
      <c r="B175" s="5" t="s">
        <v>249</v>
      </c>
      <c r="C175" s="5" t="s">
        <v>37</v>
      </c>
      <c r="D175" s="5"/>
      <c r="E175" s="5">
        <v>4.010053E7</v>
      </c>
      <c r="F175" s="5">
        <v>3402.0</v>
      </c>
      <c r="G175" s="5">
        <v>7100.0</v>
      </c>
      <c r="H175" s="12" t="s">
        <v>83</v>
      </c>
      <c r="I175" s="1">
        <v>72069.0</v>
      </c>
    </row>
    <row r="176" ht="14.25" customHeight="1">
      <c r="A176" s="5" t="s">
        <v>84</v>
      </c>
      <c r="B176" s="5" t="s">
        <v>250</v>
      </c>
      <c r="C176" s="5" t="s">
        <v>37</v>
      </c>
      <c r="D176" s="5"/>
      <c r="E176" s="5">
        <v>4.010053E7</v>
      </c>
      <c r="F176" s="5">
        <v>3402.0</v>
      </c>
      <c r="G176" s="5">
        <v>6990.0</v>
      </c>
      <c r="H176" s="12" t="s">
        <v>83</v>
      </c>
      <c r="I176" s="1">
        <v>72070.0</v>
      </c>
    </row>
    <row r="177" ht="14.25" customHeight="1">
      <c r="A177" s="5" t="s">
        <v>84</v>
      </c>
      <c r="B177" s="5" t="s">
        <v>251</v>
      </c>
      <c r="C177" s="5" t="s">
        <v>37</v>
      </c>
      <c r="D177" s="5"/>
      <c r="E177" s="5">
        <v>4.010053E7</v>
      </c>
      <c r="F177" s="5">
        <v>3402.0</v>
      </c>
      <c r="G177" s="5">
        <v>6444.0</v>
      </c>
      <c r="H177" s="12" t="s">
        <v>83</v>
      </c>
      <c r="I177" s="1">
        <v>72071.0</v>
      </c>
    </row>
    <row r="178" ht="14.25" customHeight="1">
      <c r="A178" s="5" t="s">
        <v>84</v>
      </c>
      <c r="B178" s="5" t="s">
        <v>252</v>
      </c>
      <c r="C178" s="5" t="s">
        <v>37</v>
      </c>
      <c r="D178" s="5"/>
      <c r="E178" s="5">
        <v>4.010053E7</v>
      </c>
      <c r="F178" s="5">
        <v>3402.0</v>
      </c>
      <c r="G178" s="5">
        <v>3512.0</v>
      </c>
      <c r="H178" s="12" t="s">
        <v>83</v>
      </c>
      <c r="I178" s="1">
        <v>72072.0</v>
      </c>
    </row>
    <row r="179" ht="14.25" customHeight="1">
      <c r="A179" s="5" t="s">
        <v>84</v>
      </c>
      <c r="B179" s="5" t="s">
        <v>253</v>
      </c>
      <c r="C179" s="5" t="s">
        <v>37</v>
      </c>
      <c r="D179" s="5"/>
      <c r="E179" s="5">
        <v>4.010053E7</v>
      </c>
      <c r="F179" s="5">
        <v>3402.0</v>
      </c>
      <c r="G179" s="5">
        <v>3290.0</v>
      </c>
      <c r="H179" s="12" t="s">
        <v>83</v>
      </c>
      <c r="I179" s="1">
        <v>72073.0</v>
      </c>
    </row>
    <row r="180" ht="14.25" customHeight="1">
      <c r="A180" s="5" t="s">
        <v>84</v>
      </c>
      <c r="B180" s="5" t="s">
        <v>254</v>
      </c>
      <c r="C180" s="5" t="s">
        <v>37</v>
      </c>
      <c r="D180" s="5"/>
      <c r="E180" s="5">
        <v>4.010053E7</v>
      </c>
      <c r="F180" s="5">
        <v>3402.0</v>
      </c>
      <c r="G180" s="5">
        <v>3175.0</v>
      </c>
      <c r="H180" s="12" t="s">
        <v>83</v>
      </c>
      <c r="I180" s="1">
        <v>72074.0</v>
      </c>
    </row>
    <row r="181" ht="14.25" customHeight="1">
      <c r="A181" s="5" t="s">
        <v>84</v>
      </c>
      <c r="B181" s="5" t="s">
        <v>255</v>
      </c>
      <c r="C181" s="5" t="s">
        <v>49</v>
      </c>
      <c r="D181" s="5"/>
      <c r="E181" s="5">
        <v>4.010053E7</v>
      </c>
      <c r="F181" s="5">
        <v>3402.0</v>
      </c>
      <c r="G181" s="5">
        <v>195.0</v>
      </c>
      <c r="H181" s="12" t="s">
        <v>83</v>
      </c>
      <c r="I181" s="1">
        <v>72075.0</v>
      </c>
    </row>
    <row r="182" ht="14.25" customHeight="1">
      <c r="A182" s="5" t="s">
        <v>87</v>
      </c>
      <c r="B182" s="5" t="s">
        <v>256</v>
      </c>
      <c r="C182" s="5" t="s">
        <v>257</v>
      </c>
      <c r="D182" s="5"/>
      <c r="E182" s="5">
        <v>4.010053E7</v>
      </c>
      <c r="F182" s="5">
        <v>3402.0</v>
      </c>
      <c r="G182" s="5">
        <v>12000.0</v>
      </c>
      <c r="H182" s="12" t="s">
        <v>86</v>
      </c>
      <c r="I182" s="1">
        <v>72076.0</v>
      </c>
    </row>
    <row r="183" ht="14.25" customHeight="1">
      <c r="A183" s="5" t="s">
        <v>87</v>
      </c>
      <c r="B183" s="5" t="s">
        <v>258</v>
      </c>
      <c r="C183" s="5" t="s">
        <v>49</v>
      </c>
      <c r="D183" s="5"/>
      <c r="E183" s="5">
        <v>4.010053E7</v>
      </c>
      <c r="F183" s="5">
        <v>3402.0</v>
      </c>
      <c r="G183" s="5">
        <v>8000.0</v>
      </c>
      <c r="H183" s="12" t="s">
        <v>86</v>
      </c>
      <c r="I183" s="1">
        <v>72077.0</v>
      </c>
    </row>
    <row r="184" ht="14.25" customHeight="1">
      <c r="A184" s="5" t="s">
        <v>87</v>
      </c>
      <c r="B184" s="5" t="s">
        <v>259</v>
      </c>
      <c r="C184" s="5" t="s">
        <v>37</v>
      </c>
      <c r="D184" s="5"/>
      <c r="E184" s="5">
        <v>4.010053E7</v>
      </c>
      <c r="F184" s="5">
        <v>3402.0</v>
      </c>
      <c r="G184" s="5">
        <v>7500.0</v>
      </c>
      <c r="H184" s="12" t="s">
        <v>86</v>
      </c>
      <c r="I184" s="1">
        <v>72078.0</v>
      </c>
    </row>
    <row r="185" ht="14.25" customHeight="1">
      <c r="A185" s="5" t="s">
        <v>87</v>
      </c>
      <c r="B185" s="5" t="s">
        <v>260</v>
      </c>
      <c r="C185" s="5" t="s">
        <v>37</v>
      </c>
      <c r="D185" s="5"/>
      <c r="E185" s="5">
        <v>4.010053E7</v>
      </c>
      <c r="F185" s="5">
        <v>3402.0</v>
      </c>
      <c r="G185" s="5">
        <v>7000.0</v>
      </c>
      <c r="H185" s="12" t="s">
        <v>86</v>
      </c>
      <c r="I185" s="1">
        <v>72079.0</v>
      </c>
    </row>
    <row r="186" ht="14.25" customHeight="1">
      <c r="A186" s="5" t="s">
        <v>87</v>
      </c>
      <c r="B186" s="5" t="s">
        <v>261</v>
      </c>
      <c r="C186" s="5" t="s">
        <v>257</v>
      </c>
      <c r="D186" s="5"/>
      <c r="E186" s="5">
        <v>4.010053E7</v>
      </c>
      <c r="F186" s="5">
        <v>3402.0</v>
      </c>
      <c r="G186" s="5">
        <v>6500.0</v>
      </c>
      <c r="H186" s="12" t="s">
        <v>86</v>
      </c>
      <c r="I186" s="1">
        <v>72080.0</v>
      </c>
    </row>
    <row r="187" ht="14.25" customHeight="1">
      <c r="A187" s="5" t="s">
        <v>87</v>
      </c>
      <c r="B187" s="5" t="s">
        <v>262</v>
      </c>
      <c r="C187" s="5" t="s">
        <v>37</v>
      </c>
      <c r="D187" s="5"/>
      <c r="E187" s="5">
        <v>4.010053E7</v>
      </c>
      <c r="F187" s="5">
        <v>3402.0</v>
      </c>
      <c r="G187" s="5">
        <v>5340.0</v>
      </c>
      <c r="H187" s="12" t="s">
        <v>86</v>
      </c>
      <c r="I187" s="1">
        <v>72081.0</v>
      </c>
    </row>
    <row r="188" ht="14.25" customHeight="1">
      <c r="A188" s="5" t="s">
        <v>87</v>
      </c>
      <c r="B188" s="5" t="s">
        <v>263</v>
      </c>
      <c r="C188" s="5" t="s">
        <v>37</v>
      </c>
      <c r="D188" s="5"/>
      <c r="E188" s="5">
        <v>4.010053E7</v>
      </c>
      <c r="F188" s="5">
        <v>3402.0</v>
      </c>
      <c r="G188" s="5">
        <v>4990.0</v>
      </c>
      <c r="H188" s="12" t="s">
        <v>86</v>
      </c>
      <c r="I188" s="1">
        <v>72082.0</v>
      </c>
    </row>
    <row r="189" ht="14.25" customHeight="1">
      <c r="A189" s="5" t="s">
        <v>87</v>
      </c>
      <c r="B189" s="5" t="s">
        <v>264</v>
      </c>
      <c r="C189" s="5" t="s">
        <v>37</v>
      </c>
      <c r="D189" s="5"/>
      <c r="E189" s="5">
        <v>4.010053E7</v>
      </c>
      <c r="F189" s="5">
        <v>3402.0</v>
      </c>
      <c r="G189" s="5">
        <v>4000.0</v>
      </c>
      <c r="H189" s="12" t="s">
        <v>86</v>
      </c>
      <c r="I189" s="1">
        <v>72083.0</v>
      </c>
    </row>
    <row r="190" ht="14.25" customHeight="1">
      <c r="A190" s="5" t="s">
        <v>87</v>
      </c>
      <c r="B190" s="5" t="s">
        <v>265</v>
      </c>
      <c r="C190" s="5" t="s">
        <v>37</v>
      </c>
      <c r="D190" s="5"/>
      <c r="E190" s="5">
        <v>4.010053E7</v>
      </c>
      <c r="F190" s="5">
        <v>3402.0</v>
      </c>
      <c r="G190" s="5">
        <v>4000.0</v>
      </c>
      <c r="H190" s="12" t="s">
        <v>86</v>
      </c>
      <c r="I190" s="1">
        <v>72084.0</v>
      </c>
    </row>
    <row r="191" ht="14.25" customHeight="1">
      <c r="A191" s="5" t="s">
        <v>87</v>
      </c>
      <c r="B191" s="5" t="s">
        <v>266</v>
      </c>
      <c r="C191" s="5" t="s">
        <v>37</v>
      </c>
      <c r="D191" s="5"/>
      <c r="E191" s="5">
        <v>4.010053E7</v>
      </c>
      <c r="F191" s="5">
        <v>3402.0</v>
      </c>
      <c r="G191" s="5">
        <v>3800.0</v>
      </c>
      <c r="H191" s="12" t="s">
        <v>86</v>
      </c>
      <c r="I191" s="1">
        <v>72085.0</v>
      </c>
    </row>
    <row r="192" ht="14.25" customHeight="1">
      <c r="A192" s="5" t="s">
        <v>87</v>
      </c>
      <c r="B192" s="5" t="s">
        <v>267</v>
      </c>
      <c r="C192" s="5" t="s">
        <v>37</v>
      </c>
      <c r="D192" s="5"/>
      <c r="E192" s="5">
        <v>4.010053E7</v>
      </c>
      <c r="F192" s="5">
        <v>3402.0</v>
      </c>
      <c r="G192" s="5">
        <v>3500.0</v>
      </c>
      <c r="H192" s="12" t="s">
        <v>86</v>
      </c>
      <c r="I192" s="1">
        <v>72086.0</v>
      </c>
    </row>
    <row r="193" ht="14.25" customHeight="1">
      <c r="A193" s="5" t="s">
        <v>87</v>
      </c>
      <c r="B193" s="5" t="s">
        <v>268</v>
      </c>
      <c r="C193" s="5" t="s">
        <v>257</v>
      </c>
      <c r="D193" s="5"/>
      <c r="E193" s="5">
        <v>4.010053E7</v>
      </c>
      <c r="F193" s="5">
        <v>3402.0</v>
      </c>
      <c r="G193" s="5">
        <v>3500.0</v>
      </c>
      <c r="H193" s="12" t="s">
        <v>86</v>
      </c>
      <c r="I193" s="1">
        <v>72087.0</v>
      </c>
    </row>
    <row r="194" ht="14.25" customHeight="1">
      <c r="A194" s="5" t="s">
        <v>87</v>
      </c>
      <c r="B194" s="5" t="s">
        <v>269</v>
      </c>
      <c r="C194" s="5" t="s">
        <v>257</v>
      </c>
      <c r="D194" s="5"/>
      <c r="E194" s="5">
        <v>4.010053E7</v>
      </c>
      <c r="F194" s="5">
        <v>3402.0</v>
      </c>
      <c r="G194" s="5">
        <v>3000.0</v>
      </c>
      <c r="H194" s="12" t="s">
        <v>86</v>
      </c>
      <c r="I194" s="1">
        <v>72088.0</v>
      </c>
    </row>
    <row r="195" ht="14.25" customHeight="1">
      <c r="A195" s="5" t="s">
        <v>87</v>
      </c>
      <c r="B195" s="5" t="s">
        <v>270</v>
      </c>
      <c r="C195" s="5" t="s">
        <v>37</v>
      </c>
      <c r="D195" s="5"/>
      <c r="E195" s="5">
        <v>4.010053E7</v>
      </c>
      <c r="F195" s="5">
        <v>3402.0</v>
      </c>
      <c r="G195" s="5">
        <v>2800.0</v>
      </c>
      <c r="H195" s="12" t="s">
        <v>86</v>
      </c>
      <c r="I195" s="1">
        <v>72089.0</v>
      </c>
    </row>
    <row r="196" ht="14.25" customHeight="1">
      <c r="A196" s="5" t="s">
        <v>87</v>
      </c>
      <c r="B196" s="5" t="s">
        <v>271</v>
      </c>
      <c r="C196" s="5" t="s">
        <v>257</v>
      </c>
      <c r="D196" s="5"/>
      <c r="E196" s="5">
        <v>4.010053E7</v>
      </c>
      <c r="F196" s="5">
        <v>3402.0</v>
      </c>
      <c r="G196" s="5">
        <v>2500.0</v>
      </c>
      <c r="H196" s="12" t="s">
        <v>86</v>
      </c>
      <c r="I196" s="1">
        <v>72090.0</v>
      </c>
    </row>
    <row r="197" ht="14.25" customHeight="1">
      <c r="A197" s="5" t="s">
        <v>87</v>
      </c>
      <c r="B197" s="5" t="s">
        <v>272</v>
      </c>
      <c r="C197" s="5" t="s">
        <v>37</v>
      </c>
      <c r="D197" s="5"/>
      <c r="E197" s="5">
        <v>4.010053E7</v>
      </c>
      <c r="F197" s="5">
        <v>3402.0</v>
      </c>
      <c r="G197" s="5">
        <v>2200.0</v>
      </c>
      <c r="H197" s="12" t="s">
        <v>86</v>
      </c>
      <c r="I197" s="1">
        <v>72091.0</v>
      </c>
    </row>
    <row r="198" ht="14.25" customHeight="1">
      <c r="A198" s="5" t="s">
        <v>87</v>
      </c>
      <c r="B198" s="5" t="s">
        <v>273</v>
      </c>
      <c r="C198" s="5" t="s">
        <v>49</v>
      </c>
      <c r="D198" s="5"/>
      <c r="E198" s="5">
        <v>4.010053E7</v>
      </c>
      <c r="F198" s="5">
        <v>3402.0</v>
      </c>
      <c r="G198" s="5">
        <v>2000.0</v>
      </c>
      <c r="H198" s="12" t="s">
        <v>86</v>
      </c>
      <c r="I198" s="1">
        <v>72092.0</v>
      </c>
    </row>
    <row r="199" ht="14.25" customHeight="1">
      <c r="A199" s="5" t="s">
        <v>87</v>
      </c>
      <c r="B199" s="5" t="s">
        <v>274</v>
      </c>
      <c r="C199" s="5" t="s">
        <v>37</v>
      </c>
      <c r="D199" s="5"/>
      <c r="E199" s="5">
        <v>4.010053E7</v>
      </c>
      <c r="F199" s="5">
        <v>3402.0</v>
      </c>
      <c r="G199" s="5">
        <v>1700.0</v>
      </c>
      <c r="H199" s="12" t="s">
        <v>86</v>
      </c>
      <c r="I199" s="1">
        <v>72093.0</v>
      </c>
    </row>
    <row r="200" ht="14.25" customHeight="1">
      <c r="A200" s="5" t="s">
        <v>87</v>
      </c>
      <c r="B200" s="5" t="s">
        <v>275</v>
      </c>
      <c r="C200" s="5" t="s">
        <v>37</v>
      </c>
      <c r="D200" s="5"/>
      <c r="E200" s="5">
        <v>4.010053E7</v>
      </c>
      <c r="F200" s="5">
        <v>3402.0</v>
      </c>
      <c r="G200" s="5">
        <v>1690.0</v>
      </c>
      <c r="H200" s="12" t="s">
        <v>86</v>
      </c>
      <c r="I200" s="1">
        <v>72094.0</v>
      </c>
    </row>
    <row r="201" ht="14.25" customHeight="1">
      <c r="A201" s="5" t="s">
        <v>87</v>
      </c>
      <c r="B201" s="5" t="s">
        <v>276</v>
      </c>
      <c r="C201" s="5" t="s">
        <v>257</v>
      </c>
      <c r="D201" s="5"/>
      <c r="E201" s="5">
        <v>4.010053E7</v>
      </c>
      <c r="F201" s="5">
        <v>3402.0</v>
      </c>
      <c r="G201" s="5">
        <v>1500.0</v>
      </c>
      <c r="H201" s="12" t="s">
        <v>86</v>
      </c>
      <c r="I201" s="1">
        <v>72095.0</v>
      </c>
    </row>
    <row r="202" ht="14.25" customHeight="1">
      <c r="A202" s="5" t="s">
        <v>87</v>
      </c>
      <c r="B202" s="5" t="s">
        <v>277</v>
      </c>
      <c r="C202" s="5" t="s">
        <v>49</v>
      </c>
      <c r="D202" s="5"/>
      <c r="E202" s="5">
        <v>4.010053E7</v>
      </c>
      <c r="F202" s="5">
        <v>3402.0</v>
      </c>
      <c r="G202" s="5">
        <v>1500.0</v>
      </c>
      <c r="H202" s="12" t="s">
        <v>86</v>
      </c>
      <c r="I202" s="1">
        <v>72096.0</v>
      </c>
    </row>
    <row r="203" ht="14.25" customHeight="1">
      <c r="A203" s="5" t="s">
        <v>87</v>
      </c>
      <c r="B203" s="5" t="s">
        <v>278</v>
      </c>
      <c r="C203" s="5" t="s">
        <v>49</v>
      </c>
      <c r="D203" s="5"/>
      <c r="E203" s="5">
        <v>4.010053E7</v>
      </c>
      <c r="F203" s="5">
        <v>3402.0</v>
      </c>
      <c r="G203" s="5">
        <v>1100.0</v>
      </c>
      <c r="H203" s="12" t="s">
        <v>86</v>
      </c>
      <c r="I203" s="1">
        <v>72097.0</v>
      </c>
    </row>
    <row r="204" ht="14.25" customHeight="1">
      <c r="A204" s="5" t="s">
        <v>87</v>
      </c>
      <c r="B204" s="5" t="s">
        <v>279</v>
      </c>
      <c r="C204" s="5" t="s">
        <v>257</v>
      </c>
      <c r="D204" s="5"/>
      <c r="E204" s="5">
        <v>4.010053E7</v>
      </c>
      <c r="F204" s="5">
        <v>3402.0</v>
      </c>
      <c r="G204" s="5">
        <v>1000.0</v>
      </c>
      <c r="H204" s="12" t="s">
        <v>86</v>
      </c>
      <c r="I204" s="1">
        <v>72098.0</v>
      </c>
    </row>
    <row r="205" ht="14.25" customHeight="1">
      <c r="A205" s="5" t="s">
        <v>87</v>
      </c>
      <c r="B205" s="5" t="s">
        <v>280</v>
      </c>
      <c r="C205" s="5" t="s">
        <v>49</v>
      </c>
      <c r="D205" s="5"/>
      <c r="E205" s="5">
        <v>4.010053E7</v>
      </c>
      <c r="F205" s="5">
        <v>3402.0</v>
      </c>
      <c r="G205" s="5">
        <v>1000.0</v>
      </c>
      <c r="H205" s="12" t="s">
        <v>86</v>
      </c>
      <c r="I205" s="1">
        <v>72099.0</v>
      </c>
    </row>
    <row r="206" ht="14.25" customHeight="1">
      <c r="A206" s="5" t="s">
        <v>87</v>
      </c>
      <c r="B206" s="5" t="s">
        <v>281</v>
      </c>
      <c r="C206" s="5" t="s">
        <v>37</v>
      </c>
      <c r="D206" s="5"/>
      <c r="E206" s="5">
        <v>4.010053E7</v>
      </c>
      <c r="F206" s="5">
        <v>3402.0</v>
      </c>
      <c r="G206" s="5">
        <v>913.0</v>
      </c>
      <c r="H206" s="12" t="s">
        <v>86</v>
      </c>
      <c r="I206" s="1">
        <v>72100.0</v>
      </c>
    </row>
    <row r="207" ht="14.25" customHeight="1">
      <c r="A207" s="5" t="s">
        <v>87</v>
      </c>
      <c r="B207" s="5" t="s">
        <v>282</v>
      </c>
      <c r="C207" s="5" t="s">
        <v>49</v>
      </c>
      <c r="D207" s="5"/>
      <c r="E207" s="5">
        <v>4.010053E7</v>
      </c>
      <c r="F207" s="5">
        <v>3402.0</v>
      </c>
      <c r="G207" s="5">
        <v>900.0</v>
      </c>
      <c r="H207" s="12" t="s">
        <v>86</v>
      </c>
      <c r="I207" s="1">
        <v>72101.0</v>
      </c>
    </row>
    <row r="208" ht="14.25" customHeight="1">
      <c r="A208" s="5" t="s">
        <v>87</v>
      </c>
      <c r="B208" s="5" t="s">
        <v>283</v>
      </c>
      <c r="C208" s="5" t="s">
        <v>37</v>
      </c>
      <c r="D208" s="5"/>
      <c r="E208" s="5">
        <v>4.010053E7</v>
      </c>
      <c r="F208" s="5">
        <v>3402.0</v>
      </c>
      <c r="G208" s="5">
        <v>800.0</v>
      </c>
      <c r="H208" s="12" t="s">
        <v>86</v>
      </c>
      <c r="I208" s="1">
        <v>72102.0</v>
      </c>
    </row>
    <row r="209" ht="14.25" customHeight="1">
      <c r="A209" s="5" t="s">
        <v>87</v>
      </c>
      <c r="B209" s="5" t="s">
        <v>284</v>
      </c>
      <c r="C209" s="5" t="s">
        <v>37</v>
      </c>
      <c r="D209" s="5"/>
      <c r="E209" s="5">
        <v>4.010053E7</v>
      </c>
      <c r="F209" s="5">
        <v>3402.0</v>
      </c>
      <c r="G209" s="5">
        <v>750.0</v>
      </c>
      <c r="H209" s="12" t="s">
        <v>86</v>
      </c>
      <c r="I209" s="1">
        <v>72103.0</v>
      </c>
    </row>
    <row r="210" ht="14.25" customHeight="1">
      <c r="A210" s="5" t="s">
        <v>87</v>
      </c>
      <c r="B210" s="5" t="s">
        <v>285</v>
      </c>
      <c r="C210" s="5" t="s">
        <v>37</v>
      </c>
      <c r="D210" s="5"/>
      <c r="E210" s="5">
        <v>4.010053E7</v>
      </c>
      <c r="F210" s="5">
        <v>3402.0</v>
      </c>
      <c r="G210" s="5">
        <v>639.0</v>
      </c>
      <c r="H210" s="12" t="s">
        <v>86</v>
      </c>
      <c r="I210" s="1">
        <v>72104.0</v>
      </c>
    </row>
    <row r="211" ht="14.25" customHeight="1">
      <c r="A211" s="5" t="s">
        <v>87</v>
      </c>
      <c r="B211" s="5" t="s">
        <v>286</v>
      </c>
      <c r="C211" s="5" t="s">
        <v>49</v>
      </c>
      <c r="D211" s="5"/>
      <c r="E211" s="5">
        <v>4.010053E7</v>
      </c>
      <c r="F211" s="5">
        <v>3402.0</v>
      </c>
      <c r="G211" s="5">
        <v>600.0</v>
      </c>
      <c r="H211" s="12" t="s">
        <v>86</v>
      </c>
      <c r="I211" s="1">
        <v>72105.0</v>
      </c>
    </row>
    <row r="212" ht="14.25" customHeight="1">
      <c r="A212" s="5" t="s">
        <v>87</v>
      </c>
      <c r="B212" s="5" t="s">
        <v>287</v>
      </c>
      <c r="C212" s="5" t="s">
        <v>49</v>
      </c>
      <c r="D212" s="5"/>
      <c r="E212" s="5">
        <v>4.010053E7</v>
      </c>
      <c r="F212" s="5">
        <v>3402.0</v>
      </c>
      <c r="G212" s="5">
        <v>600.0</v>
      </c>
      <c r="H212" s="12" t="s">
        <v>86</v>
      </c>
      <c r="I212" s="1">
        <v>72106.0</v>
      </c>
    </row>
    <row r="213" ht="14.25" customHeight="1">
      <c r="A213" s="5" t="s">
        <v>87</v>
      </c>
      <c r="B213" s="5" t="s">
        <v>288</v>
      </c>
      <c r="C213" s="5" t="s">
        <v>49</v>
      </c>
      <c r="D213" s="5"/>
      <c r="E213" s="5">
        <v>4.010053E7</v>
      </c>
      <c r="F213" s="5">
        <v>3402.0</v>
      </c>
      <c r="G213" s="5">
        <v>600.0</v>
      </c>
      <c r="H213" s="12" t="s">
        <v>86</v>
      </c>
      <c r="I213" s="1">
        <v>72107.0</v>
      </c>
    </row>
    <row r="214" ht="14.25" customHeight="1">
      <c r="A214" s="5" t="s">
        <v>87</v>
      </c>
      <c r="B214" s="5" t="s">
        <v>289</v>
      </c>
      <c r="C214" s="5" t="s">
        <v>49</v>
      </c>
      <c r="D214" s="5"/>
      <c r="E214" s="5">
        <v>4.010053E7</v>
      </c>
      <c r="F214" s="5">
        <v>3402.0</v>
      </c>
      <c r="G214" s="5">
        <v>550.0</v>
      </c>
      <c r="H214" s="12" t="s">
        <v>86</v>
      </c>
      <c r="I214" s="1">
        <v>72108.0</v>
      </c>
    </row>
    <row r="215" ht="14.25" customHeight="1">
      <c r="A215" s="5" t="s">
        <v>87</v>
      </c>
      <c r="B215" s="5" t="s">
        <v>290</v>
      </c>
      <c r="C215" s="5" t="s">
        <v>49</v>
      </c>
      <c r="D215" s="5"/>
      <c r="E215" s="5">
        <v>4.010053E7</v>
      </c>
      <c r="F215" s="5">
        <v>3402.0</v>
      </c>
      <c r="G215" s="5">
        <v>500.0</v>
      </c>
      <c r="H215" s="12" t="s">
        <v>86</v>
      </c>
      <c r="I215" s="1">
        <v>72109.0</v>
      </c>
    </row>
    <row r="216" ht="14.25" customHeight="1">
      <c r="A216" s="5" t="s">
        <v>87</v>
      </c>
      <c r="B216" s="5" t="s">
        <v>291</v>
      </c>
      <c r="C216" s="5" t="s">
        <v>49</v>
      </c>
      <c r="D216" s="5"/>
      <c r="E216" s="5">
        <v>4.010053E7</v>
      </c>
      <c r="F216" s="5">
        <v>3402.0</v>
      </c>
      <c r="G216" s="5">
        <v>500.0</v>
      </c>
      <c r="H216" s="12" t="s">
        <v>86</v>
      </c>
      <c r="I216" s="1">
        <v>72110.0</v>
      </c>
    </row>
    <row r="217" ht="14.25" customHeight="1">
      <c r="A217" s="5" t="s">
        <v>78</v>
      </c>
      <c r="B217" s="5" t="s">
        <v>292</v>
      </c>
      <c r="C217" s="5" t="s">
        <v>37</v>
      </c>
      <c r="D217" s="5"/>
      <c r="E217" s="5">
        <v>4.01015E7</v>
      </c>
      <c r="F217" s="5">
        <v>3402.0</v>
      </c>
      <c r="G217" s="5">
        <v>900.0</v>
      </c>
      <c r="H217" s="12" t="s">
        <v>77</v>
      </c>
      <c r="I217" s="1">
        <v>71648.0</v>
      </c>
    </row>
    <row r="218" ht="14.25" customHeight="1">
      <c r="A218" s="5" t="s">
        <v>78</v>
      </c>
      <c r="B218" s="5" t="s">
        <v>293</v>
      </c>
      <c r="C218" s="5" t="s">
        <v>49</v>
      </c>
      <c r="D218" s="5"/>
      <c r="E218" s="5">
        <v>4.01015E7</v>
      </c>
      <c r="F218" s="5">
        <v>3402.0</v>
      </c>
      <c r="G218" s="5">
        <v>7500.0</v>
      </c>
      <c r="H218" s="12" t="s">
        <v>77</v>
      </c>
      <c r="I218" s="1">
        <v>71650.0</v>
      </c>
    </row>
    <row r="219" ht="14.25" customHeight="1">
      <c r="A219" s="5" t="s">
        <v>68</v>
      </c>
      <c r="B219" s="5" t="s">
        <v>294</v>
      </c>
      <c r="C219" s="5" t="s">
        <v>37</v>
      </c>
      <c r="D219" s="5"/>
      <c r="E219" s="5">
        <v>4.010053E7</v>
      </c>
      <c r="F219" s="5">
        <v>3402.0</v>
      </c>
      <c r="G219" s="5">
        <v>1500.0</v>
      </c>
      <c r="H219" s="12" t="s">
        <v>86</v>
      </c>
      <c r="I219" s="1">
        <v>71347.0</v>
      </c>
    </row>
    <row r="220" ht="14.25" customHeight="1">
      <c r="A220" s="5" t="s">
        <v>84</v>
      </c>
      <c r="B220" s="5" t="s">
        <v>295</v>
      </c>
      <c r="C220" s="5" t="s">
        <v>37</v>
      </c>
      <c r="D220" s="5"/>
      <c r="E220" s="5">
        <v>4.010053E7</v>
      </c>
      <c r="F220" s="5">
        <v>3402.0</v>
      </c>
      <c r="G220" s="5">
        <v>3190.0</v>
      </c>
      <c r="H220" s="12" t="s">
        <v>83</v>
      </c>
      <c r="I220" s="1">
        <v>71348.0</v>
      </c>
    </row>
    <row r="221" ht="14.25" customHeight="1">
      <c r="A221" s="5" t="s">
        <v>87</v>
      </c>
      <c r="B221" s="5" t="s">
        <v>296</v>
      </c>
      <c r="C221" s="5" t="s">
        <v>49</v>
      </c>
      <c r="D221" s="5"/>
      <c r="E221" s="5">
        <v>4.010053E7</v>
      </c>
      <c r="F221" s="5">
        <v>3402.0</v>
      </c>
      <c r="G221" s="5">
        <v>4950.0</v>
      </c>
      <c r="H221" s="12" t="s">
        <v>86</v>
      </c>
      <c r="I221" s="1">
        <v>72181.0</v>
      </c>
    </row>
    <row r="222" ht="14.25" customHeight="1">
      <c r="A222" s="5" t="s">
        <v>87</v>
      </c>
      <c r="B222" s="5" t="s">
        <v>297</v>
      </c>
      <c r="C222" s="5" t="s">
        <v>49</v>
      </c>
      <c r="D222" s="5"/>
      <c r="E222" s="5">
        <v>4.010053E7</v>
      </c>
      <c r="F222" s="5">
        <v>3402.0</v>
      </c>
      <c r="G222" s="5">
        <v>8800.0</v>
      </c>
      <c r="H222" s="12" t="s">
        <v>86</v>
      </c>
      <c r="I222" s="1">
        <v>72182.0</v>
      </c>
    </row>
    <row r="223" ht="14.25" customHeight="1">
      <c r="A223" s="5" t="s">
        <v>87</v>
      </c>
      <c r="B223" s="5" t="s">
        <v>298</v>
      </c>
      <c r="C223" s="5" t="s">
        <v>49</v>
      </c>
      <c r="D223" s="5"/>
      <c r="E223" s="5">
        <v>4.010053E7</v>
      </c>
      <c r="F223" s="5">
        <v>3402.0</v>
      </c>
      <c r="G223" s="5">
        <v>66.0</v>
      </c>
      <c r="H223" s="12" t="s">
        <v>86</v>
      </c>
      <c r="I223" s="1">
        <v>72183.0</v>
      </c>
    </row>
    <row r="224" ht="14.25" customHeight="1">
      <c r="A224" s="5" t="s">
        <v>87</v>
      </c>
      <c r="B224" s="5" t="s">
        <v>299</v>
      </c>
      <c r="C224" s="5" t="s">
        <v>49</v>
      </c>
      <c r="D224" s="5"/>
      <c r="E224" s="5">
        <v>4.010053E7</v>
      </c>
      <c r="F224" s="5">
        <v>3402.0</v>
      </c>
      <c r="G224" s="5">
        <v>11990.0</v>
      </c>
      <c r="H224" s="12" t="s">
        <v>86</v>
      </c>
      <c r="I224" s="1">
        <v>72184.0</v>
      </c>
    </row>
    <row r="225" ht="14.25" customHeight="1">
      <c r="A225" s="5" t="s">
        <v>68</v>
      </c>
      <c r="B225" s="5" t="s">
        <v>300</v>
      </c>
      <c r="C225" s="5" t="s">
        <v>37</v>
      </c>
      <c r="D225" s="5"/>
      <c r="E225" s="5">
        <v>4.010053E7</v>
      </c>
      <c r="F225" s="5">
        <v>3402.0</v>
      </c>
      <c r="G225" s="5">
        <v>4000.0</v>
      </c>
      <c r="H225" s="12" t="s">
        <v>86</v>
      </c>
      <c r="I225" s="1">
        <v>72185.0</v>
      </c>
    </row>
    <row r="226" ht="14.25" customHeight="1">
      <c r="A226" s="5" t="s">
        <v>62</v>
      </c>
      <c r="B226" s="5" t="s">
        <v>301</v>
      </c>
      <c r="C226" s="5" t="s">
        <v>37</v>
      </c>
      <c r="D226" s="5"/>
      <c r="E226" s="5">
        <v>4.010053E7</v>
      </c>
      <c r="F226" s="5">
        <v>3402.0</v>
      </c>
      <c r="G226" s="5">
        <v>15873.0</v>
      </c>
      <c r="H226" s="12" t="s">
        <v>61</v>
      </c>
      <c r="I226" s="1">
        <v>72186.0</v>
      </c>
    </row>
    <row r="227" ht="14.25" customHeight="1">
      <c r="A227" s="20" t="s">
        <v>33</v>
      </c>
      <c r="B227" s="20" t="s">
        <v>302</v>
      </c>
      <c r="C227" s="20" t="s">
        <v>37</v>
      </c>
      <c r="E227" s="5">
        <v>4.010053E7</v>
      </c>
      <c r="F227" s="5">
        <v>3402.0</v>
      </c>
      <c r="G227" s="5">
        <v>9500.0</v>
      </c>
      <c r="H227" s="9" t="s">
        <v>39</v>
      </c>
      <c r="I227" s="1">
        <v>72231.0</v>
      </c>
    </row>
    <row r="228" ht="14.25" customHeight="1">
      <c r="A228" s="20" t="s">
        <v>87</v>
      </c>
      <c r="B228" s="20" t="s">
        <v>303</v>
      </c>
      <c r="C228" s="20" t="s">
        <v>37</v>
      </c>
      <c r="E228" s="5">
        <v>4.010053E7</v>
      </c>
      <c r="F228" s="5">
        <v>3402.0</v>
      </c>
      <c r="G228" s="5">
        <v>16000.0</v>
      </c>
      <c r="H228" s="12" t="s">
        <v>86</v>
      </c>
      <c r="I228" s="1">
        <v>72232.0</v>
      </c>
    </row>
    <row r="229" ht="14.25" customHeight="1">
      <c r="A229" s="20" t="s">
        <v>33</v>
      </c>
      <c r="B229" s="20" t="s">
        <v>304</v>
      </c>
      <c r="C229" s="20" t="s">
        <v>49</v>
      </c>
      <c r="E229" s="5">
        <v>4.010053E7</v>
      </c>
      <c r="F229" s="5">
        <v>3402.0</v>
      </c>
      <c r="G229" s="5">
        <v>853.0</v>
      </c>
      <c r="H229" s="9" t="s">
        <v>39</v>
      </c>
      <c r="I229" s="1">
        <v>72233.0</v>
      </c>
    </row>
    <row r="230" ht="14.25" customHeight="1">
      <c r="A230" s="5" t="s">
        <v>62</v>
      </c>
      <c r="B230" s="5" t="s">
        <v>305</v>
      </c>
      <c r="C230" s="5" t="s">
        <v>49</v>
      </c>
      <c r="D230" s="5"/>
      <c r="E230" s="5">
        <v>4.010053E7</v>
      </c>
      <c r="F230" s="5">
        <v>3402.0</v>
      </c>
      <c r="G230" s="5">
        <v>1342.0</v>
      </c>
      <c r="H230" s="12" t="s">
        <v>61</v>
      </c>
      <c r="I230" s="1">
        <v>72234.0</v>
      </c>
    </row>
    <row r="231" ht="14.25" customHeight="1">
      <c r="A231" s="5" t="s">
        <v>65</v>
      </c>
      <c r="B231" s="5" t="s">
        <v>306</v>
      </c>
      <c r="C231" s="5" t="s">
        <v>49</v>
      </c>
      <c r="D231" s="5"/>
      <c r="E231" s="5">
        <v>4.010053E7</v>
      </c>
      <c r="F231" s="5">
        <v>3402.0</v>
      </c>
      <c r="G231" s="5">
        <v>21900.0</v>
      </c>
      <c r="H231" s="12" t="s">
        <v>64</v>
      </c>
    </row>
    <row r="232" ht="14.25" customHeight="1">
      <c r="A232" s="5" t="s">
        <v>65</v>
      </c>
      <c r="B232" s="5" t="s">
        <v>307</v>
      </c>
      <c r="C232" s="5" t="s">
        <v>37</v>
      </c>
      <c r="D232" s="5"/>
      <c r="E232" s="5">
        <v>4.010053E7</v>
      </c>
      <c r="F232" s="5">
        <v>3402.0</v>
      </c>
      <c r="G232" s="5">
        <v>3340.0</v>
      </c>
      <c r="H232" s="12" t="s">
        <v>64</v>
      </c>
    </row>
    <row r="233" ht="14.25" customHeight="1">
      <c r="A233" s="20" t="s">
        <v>87</v>
      </c>
      <c r="B233" s="20" t="s">
        <v>308</v>
      </c>
      <c r="C233" s="20" t="s">
        <v>49</v>
      </c>
      <c r="E233" s="5">
        <v>4.010053E7</v>
      </c>
      <c r="F233" s="5">
        <v>3402.0</v>
      </c>
      <c r="G233" s="5">
        <v>8800.0</v>
      </c>
      <c r="H233" s="12" t="s">
        <v>86</v>
      </c>
    </row>
    <row r="234" ht="14.25" customHeight="1">
      <c r="A234" s="20" t="s">
        <v>78</v>
      </c>
      <c r="B234" s="20" t="s">
        <v>309</v>
      </c>
      <c r="C234" s="20" t="s">
        <v>49</v>
      </c>
      <c r="E234" s="5">
        <v>4.010053E7</v>
      </c>
      <c r="F234" s="5">
        <v>3402.0</v>
      </c>
      <c r="G234" s="5">
        <v>13700.0</v>
      </c>
      <c r="H234" s="12" t="s">
        <v>77</v>
      </c>
    </row>
    <row r="235" ht="14.25" customHeight="1">
      <c r="A235" s="20" t="s">
        <v>33</v>
      </c>
      <c r="B235" s="20" t="s">
        <v>310</v>
      </c>
      <c r="C235" s="20" t="s">
        <v>49</v>
      </c>
      <c r="E235" s="5">
        <v>4.010053E7</v>
      </c>
      <c r="F235" s="5">
        <v>3402.0</v>
      </c>
      <c r="G235" s="5">
        <v>1274.0</v>
      </c>
      <c r="H235" s="9" t="s">
        <v>39</v>
      </c>
    </row>
    <row r="236" ht="14.25" customHeight="1">
      <c r="A236" s="5" t="s">
        <v>87</v>
      </c>
      <c r="B236" s="5" t="s">
        <v>311</v>
      </c>
      <c r="C236" s="5" t="s">
        <v>37</v>
      </c>
      <c r="D236" s="5"/>
      <c r="E236" s="5">
        <v>4.010053E7</v>
      </c>
      <c r="F236" s="5">
        <v>3402.0</v>
      </c>
      <c r="G236" s="5">
        <v>3500.0</v>
      </c>
      <c r="H236" s="12" t="s">
        <v>86</v>
      </c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0.5"/>
    <col customWidth="1" min="3" max="3" width="14.13"/>
    <col customWidth="1" min="4" max="4" width="9.88"/>
    <col customWidth="1" min="5" max="5" width="14.88"/>
    <col customWidth="1" min="6" max="6" width="14.38"/>
    <col customWidth="1" min="7" max="7" width="11.38"/>
    <col customWidth="1" min="8" max="8" width="17.88"/>
    <col customWidth="1" min="9" max="9" width="8.0"/>
    <col customWidth="1" min="10" max="10" width="21.88"/>
    <col customWidth="1" min="11" max="11" width="8.38"/>
    <col customWidth="1" min="12" max="12" width="18.5"/>
    <col customWidth="1" min="13" max="13" width="15.88"/>
    <col customWidth="1" min="14" max="14" width="3.75"/>
    <col customWidth="1" min="15" max="15" width="14.13"/>
    <col customWidth="1" min="16" max="16" width="5.13"/>
    <col customWidth="1" min="17" max="17" width="15.75"/>
    <col customWidth="1" min="18" max="18" width="7.0"/>
    <col customWidth="1" min="19" max="19" width="7.88"/>
    <col customWidth="1" min="20" max="20" width="16.75"/>
    <col customWidth="1" min="21" max="21" width="6.5"/>
    <col customWidth="1" min="22" max="22" width="13.0"/>
    <col customWidth="1" min="23" max="26" width="10.63"/>
  </cols>
  <sheetData>
    <row r="1" ht="14.2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21</v>
      </c>
      <c r="T1" s="2" t="s">
        <v>23</v>
      </c>
      <c r="U1" s="2" t="s">
        <v>24</v>
      </c>
      <c r="V1" s="2" t="s">
        <v>25</v>
      </c>
    </row>
    <row r="2" ht="14.25" customHeight="1">
      <c r="A2" s="5" t="s">
        <v>27</v>
      </c>
      <c r="B2" s="5" t="s">
        <v>30</v>
      </c>
      <c r="C2" s="6">
        <v>46272.0</v>
      </c>
      <c r="D2" s="5"/>
      <c r="E2" s="5"/>
      <c r="F2" s="5"/>
      <c r="G2" s="5"/>
      <c r="H2" s="5">
        <v>1.0</v>
      </c>
      <c r="I2" s="5"/>
      <c r="J2" s="5"/>
      <c r="K2" s="5">
        <v>1.0</v>
      </c>
      <c r="L2" s="5">
        <v>171283.0</v>
      </c>
      <c r="M2" s="5"/>
      <c r="N2" s="5"/>
      <c r="O2" s="5"/>
      <c r="P2" s="5"/>
      <c r="Q2" s="5">
        <v>5.100248769E9</v>
      </c>
      <c r="R2" s="5"/>
      <c r="S2" s="5">
        <v>3796.0</v>
      </c>
      <c r="T2" s="5"/>
      <c r="U2" s="5"/>
      <c r="V2" s="5"/>
    </row>
    <row r="3" ht="14.25" customHeight="1">
      <c r="A3" s="5" t="s">
        <v>34</v>
      </c>
      <c r="B3" s="5" t="s">
        <v>36</v>
      </c>
      <c r="C3" s="6">
        <v>46272.0</v>
      </c>
      <c r="D3" s="5">
        <v>2.00182433E8</v>
      </c>
      <c r="E3" s="5"/>
      <c r="F3" s="5"/>
      <c r="G3" s="5"/>
      <c r="H3" s="5">
        <v>1.0</v>
      </c>
      <c r="I3" s="5"/>
      <c r="J3" s="5"/>
      <c r="K3" s="5">
        <v>1.0</v>
      </c>
      <c r="L3" s="5">
        <v>16000.0</v>
      </c>
      <c r="M3" s="5"/>
      <c r="N3" s="5"/>
      <c r="O3" s="5"/>
      <c r="P3" s="5"/>
      <c r="Q3" s="5"/>
      <c r="R3" s="5"/>
      <c r="S3" s="5">
        <v>27944.0</v>
      </c>
      <c r="T3" s="5"/>
      <c r="U3" s="5"/>
      <c r="V3" s="5"/>
    </row>
    <row r="4" ht="14.25" customHeight="1">
      <c r="A4" s="5" t="s">
        <v>34</v>
      </c>
      <c r="B4" s="5" t="s">
        <v>36</v>
      </c>
      <c r="C4" s="8">
        <v>46269.0</v>
      </c>
      <c r="D4" s="5">
        <v>2.00182434E8</v>
      </c>
      <c r="E4" s="5"/>
      <c r="F4" s="5"/>
      <c r="G4" s="5"/>
      <c r="H4" s="5">
        <v>5.0</v>
      </c>
      <c r="I4" s="5"/>
      <c r="J4" s="5"/>
      <c r="K4" s="5">
        <v>1.0</v>
      </c>
      <c r="L4" s="5">
        <v>76680.0</v>
      </c>
      <c r="M4" s="5"/>
      <c r="N4" s="5"/>
      <c r="O4" s="5"/>
      <c r="P4" s="5"/>
      <c r="Q4" s="5"/>
      <c r="R4" s="5"/>
      <c r="S4" s="5">
        <v>27942.0</v>
      </c>
      <c r="T4" s="5"/>
      <c r="U4" s="5"/>
      <c r="V4" s="5"/>
    </row>
    <row r="5" ht="14.25" customHeight="1">
      <c r="A5" s="5" t="s">
        <v>41</v>
      </c>
      <c r="B5" s="5" t="s">
        <v>42</v>
      </c>
      <c r="C5" s="8">
        <v>46274.0</v>
      </c>
      <c r="D5" s="5">
        <v>2.00182638E8</v>
      </c>
      <c r="E5" s="5"/>
      <c r="F5" s="5"/>
      <c r="G5" s="5"/>
      <c r="H5" s="5">
        <v>5.0</v>
      </c>
      <c r="I5" s="5"/>
      <c r="J5" s="5"/>
      <c r="K5" s="5">
        <v>1.0</v>
      </c>
      <c r="L5" s="5">
        <v>39000.0</v>
      </c>
      <c r="M5" s="5"/>
      <c r="N5" s="5"/>
      <c r="O5" s="5"/>
      <c r="P5" s="5"/>
      <c r="Q5" s="5"/>
      <c r="R5" s="5"/>
      <c r="S5" s="5">
        <v>15423.0</v>
      </c>
      <c r="T5" s="5"/>
      <c r="U5" s="5"/>
      <c r="V5" s="5"/>
    </row>
    <row r="6" ht="14.25" customHeight="1">
      <c r="A6" s="5" t="s">
        <v>44</v>
      </c>
      <c r="B6" s="5" t="s">
        <v>45</v>
      </c>
      <c r="C6" s="8">
        <v>46273.0</v>
      </c>
      <c r="D6" s="5">
        <v>2.00182526E8</v>
      </c>
      <c r="E6" s="5"/>
      <c r="F6" s="5"/>
      <c r="G6" s="5"/>
      <c r="H6" s="5">
        <v>6.0</v>
      </c>
      <c r="I6" s="5"/>
      <c r="J6" s="5"/>
      <c r="K6" s="5">
        <v>1.0</v>
      </c>
      <c r="L6" s="5">
        <v>48145.0</v>
      </c>
      <c r="M6" s="5"/>
      <c r="N6" s="5"/>
      <c r="O6" s="5"/>
      <c r="P6" s="5"/>
      <c r="Q6" s="5"/>
      <c r="R6" s="5"/>
      <c r="S6" s="5">
        <v>3675681.0</v>
      </c>
      <c r="T6" s="5"/>
      <c r="U6" s="5"/>
      <c r="V6" s="5"/>
    </row>
    <row r="7" ht="14.25" customHeight="1">
      <c r="A7" s="5" t="s">
        <v>44</v>
      </c>
      <c r="B7" s="5" t="s">
        <v>45</v>
      </c>
      <c r="C7" s="8">
        <v>46273.0</v>
      </c>
      <c r="D7" s="5">
        <v>2.00182527E8</v>
      </c>
      <c r="E7" s="5"/>
      <c r="F7" s="5"/>
      <c r="G7" s="5"/>
      <c r="H7" s="5">
        <v>5.0</v>
      </c>
      <c r="I7" s="5"/>
      <c r="J7" s="5"/>
      <c r="K7" s="5">
        <v>1.0</v>
      </c>
      <c r="L7" s="5">
        <v>84403.0</v>
      </c>
      <c r="M7" s="5"/>
      <c r="N7" s="5"/>
      <c r="O7" s="5"/>
      <c r="P7" s="5"/>
      <c r="Q7" s="5"/>
      <c r="R7" s="5"/>
      <c r="S7" s="5">
        <v>3675679.0</v>
      </c>
      <c r="T7" s="5"/>
      <c r="U7" s="5"/>
      <c r="V7" s="5"/>
    </row>
    <row r="8" ht="14.25" customHeight="1">
      <c r="A8" s="5" t="s">
        <v>44</v>
      </c>
      <c r="B8" s="5" t="s">
        <v>45</v>
      </c>
      <c r="C8" s="8">
        <v>46275.0</v>
      </c>
      <c r="D8" s="5">
        <v>2.00182595E8</v>
      </c>
      <c r="E8" s="5"/>
      <c r="F8" s="5"/>
      <c r="G8" s="5"/>
      <c r="H8" s="5">
        <v>11.0</v>
      </c>
      <c r="I8" s="5"/>
      <c r="J8" s="5"/>
      <c r="K8" s="5">
        <v>1.0</v>
      </c>
      <c r="L8" s="5">
        <v>149377.0</v>
      </c>
      <c r="M8" s="5"/>
      <c r="N8" s="5"/>
      <c r="O8" s="5"/>
      <c r="P8" s="5"/>
      <c r="Q8" s="5"/>
      <c r="R8" s="5"/>
      <c r="S8" s="5">
        <v>3682292.0</v>
      </c>
      <c r="T8" s="5"/>
      <c r="U8" s="5"/>
      <c r="V8" s="5"/>
    </row>
    <row r="9" ht="14.25" customHeight="1">
      <c r="A9" s="5" t="s">
        <v>50</v>
      </c>
      <c r="B9" s="5" t="s">
        <v>51</v>
      </c>
      <c r="C9" s="8">
        <v>46275.0</v>
      </c>
      <c r="D9" s="5">
        <v>2.00182593E8</v>
      </c>
      <c r="E9" s="5"/>
      <c r="F9" s="5"/>
      <c r="G9" s="5"/>
      <c r="H9" s="5">
        <v>2.0</v>
      </c>
      <c r="I9" s="5"/>
      <c r="J9" s="5"/>
      <c r="K9" s="5">
        <v>1.0</v>
      </c>
      <c r="L9" s="5">
        <v>144000.0</v>
      </c>
      <c r="M9" s="5"/>
      <c r="N9" s="5"/>
      <c r="O9" s="5"/>
      <c r="P9" s="5"/>
      <c r="Q9" s="5"/>
      <c r="R9" s="5"/>
      <c r="S9" s="5">
        <v>975914.0</v>
      </c>
      <c r="T9" s="5"/>
      <c r="U9" s="5"/>
      <c r="V9" s="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A2" s="1" t="s">
        <v>0</v>
      </c>
      <c r="B2" s="1">
        <v>90.0</v>
      </c>
      <c r="C2" s="1">
        <v>400.0</v>
      </c>
      <c r="D2" s="1">
        <f>+C2*B2</f>
        <v>36000</v>
      </c>
    </row>
    <row r="3" ht="14.25" customHeight="1">
      <c r="A3" s="1" t="s">
        <v>32</v>
      </c>
      <c r="C3" s="1">
        <v>500.0</v>
      </c>
      <c r="D3" s="1">
        <f>+C3*B2</f>
        <v>45000</v>
      </c>
      <c r="E3" s="1">
        <f>+D3-D2</f>
        <v>9000</v>
      </c>
    </row>
    <row r="4" ht="14.25" customHeight="1">
      <c r="A4" s="1" t="s">
        <v>38</v>
      </c>
      <c r="D4" s="1">
        <v>30.0</v>
      </c>
      <c r="E4" s="1">
        <f>+E3/500</f>
        <v>18</v>
      </c>
      <c r="F4" s="1">
        <v>48.0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2026-07-30T16:35:28Z</dcterms:created>
  <dc:creator>Jorge Guerrero Vega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0x01010007ED53978663CE4A82E865169D93F135</vt:lpwstr>
  </property>
</Properties>
</file>