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guerrero\Desktop\doña paula\"/>
    </mc:Choice>
  </mc:AlternateContent>
  <xr:revisionPtr revIDLastSave="0" documentId="13_ncr:1_{2F9F603C-E89D-4A71-BCCE-0E243A1ED7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Hoja1!$A$1:$BQ$126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1" l="1"/>
  <c r="B105" i="1" s="1"/>
  <c r="H104" i="1"/>
  <c r="B104" i="1" s="1"/>
  <c r="H103" i="1"/>
  <c r="B103" i="1" s="1"/>
  <c r="H102" i="1"/>
  <c r="B102" i="1" s="1"/>
  <c r="H2" i="1" l="1"/>
  <c r="B2" i="1" s="1"/>
  <c r="H35" i="1"/>
  <c r="B35" i="1" s="1"/>
  <c r="H13" i="1" l="1"/>
  <c r="B13" i="1" s="1"/>
  <c r="H9" i="1"/>
  <c r="B9" i="1" s="1"/>
  <c r="H25" i="1"/>
  <c r="B25" i="1" s="1"/>
  <c r="H24" i="1"/>
  <c r="B24" i="1" s="1"/>
  <c r="H112" i="1" l="1"/>
  <c r="B112" i="1" s="1"/>
  <c r="H5" i="1"/>
  <c r="B5" i="1" s="1"/>
  <c r="H14" i="1"/>
  <c r="B14" i="1" s="1"/>
  <c r="H19" i="1"/>
  <c r="B19" i="1" s="1"/>
  <c r="H61" i="1"/>
  <c r="B61" i="1" s="1"/>
  <c r="H57" i="1"/>
  <c r="B57" i="1" s="1"/>
  <c r="H56" i="1" l="1"/>
  <c r="B56" i="1" s="1"/>
  <c r="H38" i="1" l="1"/>
  <c r="B38" i="1" s="1"/>
  <c r="H83" i="1"/>
  <c r="B83" i="1" s="1"/>
  <c r="H121" i="1"/>
  <c r="B121" i="1" s="1"/>
  <c r="H114" i="1"/>
  <c r="B114" i="1" s="1"/>
  <c r="H122" i="1"/>
  <c r="B122" i="1" s="1"/>
  <c r="H115" i="1"/>
  <c r="B115" i="1" s="1"/>
  <c r="H123" i="1"/>
  <c r="B123" i="1" s="1"/>
  <c r="H12" i="1"/>
  <c r="B12" i="1" s="1"/>
  <c r="H77" i="1"/>
  <c r="B77" i="1" s="1"/>
  <c r="H126" i="1"/>
  <c r="B126" i="1" s="1"/>
  <c r="H4" i="1"/>
  <c r="B4" i="1" s="1"/>
  <c r="H107" i="1"/>
  <c r="B107" i="1" s="1"/>
  <c r="H73" i="1"/>
  <c r="B73" i="1" s="1"/>
  <c r="H10" i="1"/>
  <c r="B10" i="1" s="1"/>
  <c r="H11" i="1"/>
  <c r="B11" i="1" s="1"/>
  <c r="H62" i="1"/>
  <c r="B62" i="1" s="1"/>
  <c r="H74" i="1"/>
  <c r="B74" i="1" s="1"/>
  <c r="H75" i="1"/>
  <c r="B75" i="1" s="1"/>
  <c r="H118" i="1"/>
  <c r="B118" i="1" s="1"/>
  <c r="H6" i="1"/>
  <c r="B6" i="1" s="1"/>
  <c r="H20" i="1"/>
  <c r="B20" i="1" s="1"/>
  <c r="H17" i="1"/>
  <c r="B17" i="1" s="1"/>
  <c r="H96" i="1"/>
  <c r="B96" i="1" s="1"/>
  <c r="H71" i="1"/>
  <c r="B71" i="1" s="1"/>
  <c r="H79" i="1"/>
  <c r="B79" i="1" s="1"/>
  <c r="H116" i="1"/>
  <c r="B116" i="1" s="1"/>
  <c r="H39" i="1"/>
  <c r="B39" i="1" s="1"/>
  <c r="H36" i="1"/>
  <c r="B36" i="1" s="1"/>
  <c r="H110" i="1"/>
  <c r="B110" i="1" s="1"/>
  <c r="H89" i="1"/>
  <c r="B89" i="1" s="1"/>
  <c r="H67" i="1"/>
  <c r="B67" i="1" s="1"/>
  <c r="H95" i="1"/>
  <c r="B95" i="1" s="1"/>
  <c r="H100" i="1"/>
  <c r="B100" i="1" s="1"/>
  <c r="H101" i="1"/>
  <c r="B101" i="1" s="1"/>
  <c r="H117" i="1"/>
  <c r="B117" i="1" s="1"/>
  <c r="H46" i="1"/>
  <c r="B46" i="1" s="1"/>
  <c r="H108" i="1"/>
  <c r="B108" i="1" s="1"/>
  <c r="H15" i="1"/>
  <c r="B15" i="1" s="1"/>
  <c r="H124" i="1"/>
  <c r="B124" i="1" s="1"/>
  <c r="H47" i="1"/>
  <c r="B47" i="1" s="1"/>
  <c r="H90" i="1"/>
  <c r="B90" i="1" s="1"/>
  <c r="H99" i="1"/>
  <c r="B99" i="1" s="1"/>
  <c r="H109" i="1"/>
  <c r="B109" i="1" s="1"/>
  <c r="H33" i="1"/>
  <c r="B33" i="1" s="1"/>
  <c r="H31" i="1"/>
  <c r="B31" i="1" s="1"/>
  <c r="H60" i="1"/>
  <c r="B60" i="1" s="1"/>
  <c r="H58" i="1"/>
  <c r="B58" i="1" s="1"/>
  <c r="H97" i="1"/>
  <c r="B97" i="1" s="1"/>
  <c r="H78" i="1"/>
  <c r="B78" i="1" s="1"/>
  <c r="H91" i="1"/>
  <c r="B91" i="1" s="1"/>
  <c r="H18" i="1"/>
  <c r="B18" i="1" s="1"/>
  <c r="H64" i="1"/>
  <c r="B64" i="1" s="1"/>
  <c r="H94" i="1"/>
  <c r="B94" i="1" s="1"/>
  <c r="H70" i="1"/>
  <c r="B70" i="1" s="1"/>
  <c r="H50" i="1"/>
  <c r="B50" i="1" s="1"/>
  <c r="H98" i="1"/>
  <c r="B98" i="1" s="1"/>
  <c r="H85" i="1"/>
  <c r="B85" i="1" s="1"/>
  <c r="H76" i="1"/>
  <c r="B76" i="1" s="1"/>
  <c r="H22" i="1"/>
  <c r="B22" i="1" s="1"/>
  <c r="H16" i="1"/>
  <c r="B16" i="1" s="1"/>
  <c r="H63" i="1"/>
  <c r="B63" i="1" s="1"/>
  <c r="H113" i="1"/>
  <c r="B113" i="1" s="1"/>
  <c r="H51" i="1"/>
  <c r="B51" i="1" s="1"/>
  <c r="H37" i="1"/>
  <c r="B37" i="1" s="1"/>
  <c r="H28" i="1"/>
  <c r="B28" i="1" s="1"/>
  <c r="H23" i="1"/>
  <c r="B23" i="1" s="1"/>
  <c r="H88" i="1"/>
  <c r="B88" i="1" s="1"/>
  <c r="H66" i="1"/>
  <c r="B66" i="1" s="1"/>
  <c r="H41" i="1"/>
  <c r="B41" i="1" s="1"/>
  <c r="H40" i="1"/>
  <c r="B40" i="1" s="1"/>
  <c r="H93" i="1"/>
  <c r="B93" i="1" s="1"/>
  <c r="H21" i="1"/>
  <c r="B21" i="1" s="1"/>
  <c r="H92" i="1"/>
  <c r="B92" i="1" s="1"/>
  <c r="H81" i="1"/>
  <c r="B81" i="1" s="1"/>
  <c r="H59" i="1"/>
  <c r="B59" i="1" s="1"/>
  <c r="H86" i="1"/>
  <c r="B86" i="1" s="1"/>
  <c r="H8" i="1"/>
  <c r="B8" i="1" s="1"/>
  <c r="H54" i="1"/>
  <c r="B54" i="1" s="1"/>
  <c r="H111" i="1"/>
  <c r="B111" i="1" s="1"/>
  <c r="H84" i="1"/>
  <c r="B84" i="1" s="1"/>
  <c r="H30" i="1"/>
  <c r="B30" i="1" s="1"/>
  <c r="H29" i="1"/>
  <c r="B29" i="1" s="1"/>
  <c r="H27" i="1"/>
  <c r="B27" i="1" s="1"/>
  <c r="H80" i="1"/>
  <c r="B80" i="1" s="1"/>
  <c r="H120" i="1"/>
  <c r="B120" i="1" s="1"/>
  <c r="H119" i="1"/>
  <c r="B119" i="1" s="1"/>
  <c r="H65" i="1"/>
  <c r="B65" i="1" s="1"/>
  <c r="H52" i="1"/>
  <c r="B52" i="1" s="1"/>
  <c r="H49" i="1"/>
  <c r="B49" i="1" s="1"/>
  <c r="H48" i="1"/>
  <c r="B48" i="1" s="1"/>
  <c r="H82" i="1"/>
  <c r="B82" i="1" s="1"/>
  <c r="H7" i="1"/>
  <c r="B7" i="1" s="1"/>
  <c r="H34" i="1"/>
  <c r="B34" i="1" s="1"/>
  <c r="H53" i="1"/>
  <c r="B53" i="1" s="1"/>
  <c r="H26" i="1"/>
  <c r="B26" i="1" s="1"/>
  <c r="H43" i="1"/>
  <c r="B43" i="1" s="1"/>
  <c r="H42" i="1"/>
  <c r="B42" i="1" s="1"/>
  <c r="H72" i="1"/>
  <c r="B72" i="1" s="1"/>
  <c r="H87" i="1"/>
  <c r="B87" i="1" s="1"/>
  <c r="H45" i="1"/>
  <c r="B45" i="1" s="1"/>
  <c r="H68" i="1"/>
  <c r="B68" i="1" s="1"/>
  <c r="H106" i="1"/>
  <c r="B106" i="1" s="1"/>
  <c r="H69" i="1"/>
  <c r="B69" i="1" s="1"/>
  <c r="H32" i="1"/>
  <c r="B32" i="1" s="1"/>
  <c r="H3" i="1"/>
  <c r="B3" i="1" s="1"/>
  <c r="H55" i="1"/>
  <c r="B55" i="1" s="1"/>
  <c r="H44" i="1"/>
  <c r="B44" i="1" s="1"/>
  <c r="H125" i="1" l="1"/>
  <c r="B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tc={25F73B0D-1C0D-4A55-96D0-9E0E1F515E14}</author>
  </authors>
  <commentList>
    <comment ref="BB78" authorId="0" shapeId="0" xr:uid="{25F73B0D-1C0D-4A55-96D0-9E0E1F515E1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CAFETERIA</t>
      </text>
    </comment>
  </commentList>
</comments>
</file>

<file path=xl/sharedStrings.xml><?xml version="1.0" encoding="utf-8"?>
<sst xmlns="http://schemas.openxmlformats.org/spreadsheetml/2006/main" count="419" uniqueCount="163">
  <si>
    <t>PRODUCTO</t>
  </si>
  <si>
    <t>DESCRIPCION</t>
  </si>
  <si>
    <t>QTY</t>
  </si>
  <si>
    <t>UN</t>
  </si>
  <si>
    <t>FONDOS DE ALCACHOFAS 950G</t>
  </si>
  <si>
    <t>ALCAPARRAS 965G</t>
  </si>
  <si>
    <t>CONDIMENTOS</t>
  </si>
  <si>
    <t>PALMITOS EN RODAJA 810G</t>
  </si>
  <si>
    <t>PALMITOS ENTEROS 810G</t>
  </si>
  <si>
    <t>JUGO DE TOMATE 300CC</t>
  </si>
  <si>
    <t>LEVADURA SECA 125G</t>
  </si>
  <si>
    <t>PALO DE CANELA</t>
  </si>
  <si>
    <t>LEVADURA INSTATANEA 500G</t>
  </si>
  <si>
    <t>LECHE CONDENSADA 397GR</t>
  </si>
  <si>
    <t>LECHE EVAPORADA 366G</t>
  </si>
  <si>
    <t>COUSCOUS 500G</t>
  </si>
  <si>
    <t>SAL DE MESA 1KG</t>
  </si>
  <si>
    <t>POROTO NEGRO 1KG</t>
  </si>
  <si>
    <t>POROTO BLANCO 1KG</t>
  </si>
  <si>
    <t>SAL DE MAR 800GR</t>
  </si>
  <si>
    <t>MAS 200GR</t>
  </si>
  <si>
    <t>MAS MITAD</t>
  </si>
  <si>
    <t>MAS 1,4KG</t>
  </si>
  <si>
    <t>ACEITUNAS VERDES DESHUESADAS 1,7KG</t>
  </si>
  <si>
    <t>ACEITUNAS VERDES EN RODAJAS 1,7KG</t>
  </si>
  <si>
    <t>ACEITUNAS NEGRAS EN RODAJAS 1,7KG</t>
  </si>
  <si>
    <t>FRUTOS SECOS</t>
  </si>
  <si>
    <t>NUEZ PICADA 200GR</t>
  </si>
  <si>
    <t>LECHE ENTERA INSTANTANEA EN POLVO 900GR</t>
  </si>
  <si>
    <t>MIEL 900ML</t>
  </si>
  <si>
    <t>AZUCAR RUBIA 500GR</t>
  </si>
  <si>
    <t>AZUCAR FLOR 1KG</t>
  </si>
  <si>
    <t>VINAGRE DE MANZANA 5LT</t>
  </si>
  <si>
    <t>ACEITE PARA FRITURAS 10LT</t>
  </si>
  <si>
    <t>ACEITE VEGETAL 5LT</t>
  </si>
  <si>
    <t>CAFETERIA</t>
  </si>
  <si>
    <t>LUCAFFE CAPSULA ESPRESSO</t>
  </si>
  <si>
    <t>GELATINA EN HOJAS CAJA</t>
  </si>
  <si>
    <t>MINI SPOOM 75MM</t>
  </si>
  <si>
    <t>INSUMOS</t>
  </si>
  <si>
    <t>PAPEL ALUMINIO 100MTS</t>
  </si>
  <si>
    <t xml:space="preserve">METHANOL GEL </t>
  </si>
  <si>
    <t>GAS INDIVIDUAL 230GRS</t>
  </si>
  <si>
    <t>CREMA DE LECHE 1LT</t>
  </si>
  <si>
    <t>SERVILLETAS RESTAURANTE 200UN</t>
  </si>
  <si>
    <t>SERVILLETAS RESTAURANTE 160UN</t>
  </si>
  <si>
    <t>PAPEL TAMAÑO CARTA 500 HOJAS</t>
  </si>
  <si>
    <t xml:space="preserve">HARINA PANIFICACION 25KG </t>
  </si>
  <si>
    <t>STOCK</t>
  </si>
  <si>
    <t>LECHE ENTERA LIQUIDA 1LT</t>
  </si>
  <si>
    <t>MANTEQUILLA DE CAMPO 250GR</t>
  </si>
  <si>
    <t>YOGHURT NATURAL 1KG</t>
  </si>
  <si>
    <t>0.5</t>
  </si>
  <si>
    <t>MASAS LISTAS FILLO 320G</t>
  </si>
  <si>
    <t>MANTEQUILLA SIN SAL 5KG</t>
  </si>
  <si>
    <t>LACTEOS</t>
  </si>
  <si>
    <t>GALLETA CHAMPAÑA 140G</t>
  </si>
  <si>
    <t>MAS 1 MITAD</t>
  </si>
  <si>
    <t>POROTOS GRANADOS 1KG</t>
  </si>
  <si>
    <t>HUEVO</t>
  </si>
  <si>
    <t>SEMILLA DE ZAPALLO</t>
  </si>
  <si>
    <t>KG</t>
  </si>
  <si>
    <t>SEMILLA DE MOSTAZA</t>
  </si>
  <si>
    <t xml:space="preserve">MERKEN </t>
  </si>
  <si>
    <t>JAMON SERRANO</t>
  </si>
  <si>
    <t xml:space="preserve">PEPINILLOS </t>
  </si>
  <si>
    <t xml:space="preserve">BOMBILLAS </t>
  </si>
  <si>
    <t>PACK</t>
  </si>
  <si>
    <t xml:space="preserve">BANDEJAS DESECHABLES PARA LLEVAR </t>
  </si>
  <si>
    <t xml:space="preserve">QUESO AZUL </t>
  </si>
  <si>
    <t>QUESO DE CABRA</t>
  </si>
  <si>
    <t>ENDULZANTE 0,5</t>
  </si>
  <si>
    <t>ARVEJAS</t>
  </si>
  <si>
    <t>TORTA TENTACIONES CHOCOLATE</t>
  </si>
  <si>
    <t>TE NEGRO PURO</t>
  </si>
  <si>
    <t xml:space="preserve">HARINA EXTRAFINA 25KG </t>
  </si>
  <si>
    <t>ROLLO FILM 45CM x 1400m</t>
  </si>
  <si>
    <t xml:space="preserve">KETCHUP </t>
  </si>
  <si>
    <t>AJI CREMA</t>
  </si>
  <si>
    <t xml:space="preserve">CACAO MOLIDO </t>
  </si>
  <si>
    <t xml:space="preserve">NUEZ MARIPOSA </t>
  </si>
  <si>
    <t xml:space="preserve">AZAFRAN </t>
  </si>
  <si>
    <t>VASOS DE CARTON  50UN</t>
  </si>
  <si>
    <t xml:space="preserve">ACETO BALSAMICO </t>
  </si>
  <si>
    <t>LT</t>
  </si>
  <si>
    <t>TE CEDRON CITRICO</t>
  </si>
  <si>
    <t>TE BOLDO</t>
  </si>
  <si>
    <t>TE MANZANILLA</t>
  </si>
  <si>
    <t>TE MENTA PIPERITA</t>
  </si>
  <si>
    <t>ABARROTES</t>
  </si>
  <si>
    <t xml:space="preserve">TROCITOS BARQUILLO </t>
  </si>
  <si>
    <t xml:space="preserve">PANKO BLANCO </t>
  </si>
  <si>
    <t xml:space="preserve">POLENTA ISTANTANEA </t>
  </si>
  <si>
    <t xml:space="preserve">ESENCIA VAINILLA </t>
  </si>
  <si>
    <t xml:space="preserve">SALSA INGLESA </t>
  </si>
  <si>
    <t xml:space="preserve">SABOR AHUMADO </t>
  </si>
  <si>
    <t xml:space="preserve">SEMOLA </t>
  </si>
  <si>
    <t xml:space="preserve">QUESO CREMA </t>
  </si>
  <si>
    <t>PROTEINA</t>
  </si>
  <si>
    <t xml:space="preserve">AJO EN POLVO </t>
  </si>
  <si>
    <t xml:space="preserve">COMINO </t>
  </si>
  <si>
    <t xml:space="preserve">CLAVOS DE OLOR </t>
  </si>
  <si>
    <t xml:space="preserve">PIMIENTA NEGRA </t>
  </si>
  <si>
    <t xml:space="preserve">PIMIENTA BLANCA </t>
  </si>
  <si>
    <t xml:space="preserve">CANELA MOLIDA </t>
  </si>
  <si>
    <t xml:space="preserve">AJI DE COLOR </t>
  </si>
  <si>
    <t xml:space="preserve">MIX SESAMO </t>
  </si>
  <si>
    <t xml:space="preserve">ANIS </t>
  </si>
  <si>
    <t xml:space="preserve">MOSTAZA </t>
  </si>
  <si>
    <t xml:space="preserve">MAYO </t>
  </si>
  <si>
    <t xml:space="preserve">TRIPLE CONCENTRADO DE TOMATE </t>
  </si>
  <si>
    <t xml:space="preserve">ARROZ RISOTTO </t>
  </si>
  <si>
    <t xml:space="preserve">ARROZ LARGO ANCHO 1GRADO </t>
  </si>
  <si>
    <t xml:space="preserve">LUCAFFE PERCOLADO </t>
  </si>
  <si>
    <t xml:space="preserve">CAFÉ INSTANTANEO NESCAFE  </t>
  </si>
  <si>
    <t>CHOCOLATE NEGRO ECUADOR 56% CACAO</t>
  </si>
  <si>
    <t xml:space="preserve">CHOCOLATE BLANCO ECUADOR 31% CACAO </t>
  </si>
  <si>
    <t>TABASCO</t>
  </si>
  <si>
    <t>GR</t>
  </si>
  <si>
    <t xml:space="preserve">OREGANO ENTERO </t>
  </si>
  <si>
    <t>CONGELADOS</t>
  </si>
  <si>
    <t>UDM</t>
  </si>
  <si>
    <t xml:space="preserve">POROTO PAYAR </t>
  </si>
  <si>
    <t>CIRUELAS SIN CAROZOS</t>
  </si>
  <si>
    <t xml:space="preserve">MIX DE FRUTOS SECOS </t>
  </si>
  <si>
    <t xml:space="preserve">QUESO PARMESANO </t>
  </si>
  <si>
    <t>DULCE DE MEMBRILLO</t>
  </si>
  <si>
    <t xml:space="preserve">ENSALADA LISTA </t>
  </si>
  <si>
    <t xml:space="preserve">PASTA DE CHOCLO C/ALBAHACA </t>
  </si>
  <si>
    <t xml:space="preserve">CHOCLO EN GRANO </t>
  </si>
  <si>
    <t>PAN LIBRE DE GLUTEN MOLDE INTEGRAL</t>
  </si>
  <si>
    <t>HELADO</t>
  </si>
  <si>
    <t>VAINILLA</t>
  </si>
  <si>
    <t>CHOCOLATE</t>
  </si>
  <si>
    <t>FRAMBUESA</t>
  </si>
  <si>
    <t>FRUTILLA</t>
  </si>
  <si>
    <t>PASTA</t>
  </si>
  <si>
    <t>FETUCCINI</t>
  </si>
  <si>
    <t>POROTO NEGRO</t>
  </si>
  <si>
    <t>CIRUELA S/C</t>
  </si>
  <si>
    <t>SEMOLA</t>
  </si>
  <si>
    <t>PALMITO 810</t>
  </si>
  <si>
    <t>TARRO</t>
  </si>
  <si>
    <t>COUSCOUS 500</t>
  </si>
  <si>
    <t xml:space="preserve">JUGO DE TOMATE </t>
  </si>
  <si>
    <t>FONDO DE ALCACHOFAS 950</t>
  </si>
  <si>
    <t>AZUCAR FLOR</t>
  </si>
  <si>
    <t>CACAO</t>
  </si>
  <si>
    <t>YOGURT NATURAL</t>
  </si>
  <si>
    <t>ENSALADA LISTA</t>
  </si>
  <si>
    <t>SPAGHETTI 5 400GR</t>
  </si>
  <si>
    <t>PAN HAMBURGESA DE PAPA MARTINS 10CM</t>
  </si>
  <si>
    <t>QUESO CHEDDAR AMERICANO LAMINADO 272G</t>
  </si>
  <si>
    <t>VINAGRE BLANCO 5LT</t>
  </si>
  <si>
    <t>SALSA DE SOYA</t>
  </si>
  <si>
    <t>PISTACHO</t>
  </si>
  <si>
    <t>Precio UN</t>
  </si>
  <si>
    <t>FRUTILLA ENTERA</t>
  </si>
  <si>
    <t>MANGO CUBOS</t>
  </si>
  <si>
    <t>PULPA MARACUYA S/SEMILLA</t>
  </si>
  <si>
    <t>MIX BERRIES</t>
  </si>
  <si>
    <t xml:space="preserve">PRALINE </t>
  </si>
  <si>
    <t xml:space="preserve">AZUCAR BLANCA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</si>
</sst>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42" fontId="2" fillId="3" borderId="1" xfId="1" applyFont="1" applyFill="1" applyBorder="1" applyAlignment="1">
      <alignment horizontal="center"/>
    </xf>
    <xf numFmtId="42" fontId="0" fillId="0" borderId="1" xfId="1" applyFont="1" applyBorder="1"/>
    <xf numFmtId="42" fontId="0" fillId="0" borderId="0" xfId="1" applyFont="1"/>
    <xf numFmtId="0" fontId="3" fillId="0" borderId="1" xfId="0" applyFont="1" applyBorder="1"/>
  </cellXfs>
  <cellStyles count="2">
    <cellStyle name="Moneda [0]" xfId="1" builtinId="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rge Guerrero Vega" id="{68E3A71A-5A14-4715-8CAC-C1D0380E5BA0}" userId="S::jguerrero@santarita.cl::7569d1e3-bfba-46b7-8b0d-ec14a12447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B78" dT="2026-08-14T13:47:31.34" personId="{68E3A71A-5A14-4715-8CAC-C1D0380E5BA0}" id="{25F73B0D-1C0D-4A55-96D0-9E0E1F515E14}">
    <text>CAFETERIA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26"/>
  <sheetViews>
    <sheetView tabSelected="1" zoomScaleNormal="100" workbookViewId="0">
      <pane ySplit="1" topLeftCell="A114" activePane="bottomLeft" state="frozen"/>
      <selection pane="bottomLeft" activeCell="BT124" sqref="BT124"/>
    </sheetView>
  </sheetViews>
  <sheetFormatPr baseColWidth="10" defaultColWidth="8.7265625" defaultRowHeight="14.5" x14ac:dyDescent="0.35"/>
  <cols>
    <col min="2" max="2" width="9.26953125" style="10" bestFit="1" customWidth="1"/>
    <col min="3" max="3" width="20.81640625" bestFit="1" customWidth="1"/>
    <col min="4" max="4" width="35.08984375" bestFit="1" customWidth="1"/>
    <col min="5" max="5" width="9.453125" hidden="1" customWidth="1"/>
    <col min="7" max="7" width="13.81640625" hidden="1" customWidth="1"/>
    <col min="8" max="8" width="8.7265625" style="1"/>
    <col min="9" max="34" width="8.7265625" hidden="1" customWidth="1"/>
    <col min="35" max="65" width="0" hidden="1" customWidth="1"/>
    <col min="66" max="66" width="11" hidden="1" customWidth="1"/>
    <col min="67" max="67" width="0" hidden="1" customWidth="1"/>
  </cols>
  <sheetData>
    <row r="1" spans="1:72" s="4" customFormat="1" x14ac:dyDescent="0.35">
      <c r="A1" s="4" t="s">
        <v>156</v>
      </c>
      <c r="B1" s="8"/>
      <c r="C1" s="4" t="s">
        <v>0</v>
      </c>
      <c r="D1" s="4" t="s">
        <v>1</v>
      </c>
      <c r="E1" s="4" t="s">
        <v>2</v>
      </c>
      <c r="F1" s="4" t="s">
        <v>121</v>
      </c>
      <c r="G1" s="5">
        <v>46207</v>
      </c>
      <c r="H1" s="4" t="s">
        <v>48</v>
      </c>
      <c r="I1" s="6">
        <v>46207</v>
      </c>
      <c r="J1" s="6">
        <v>46208</v>
      </c>
      <c r="K1" s="6">
        <v>46209</v>
      </c>
      <c r="L1" s="6">
        <v>46210</v>
      </c>
      <c r="M1" s="6">
        <v>46211</v>
      </c>
      <c r="N1" s="6">
        <v>46212</v>
      </c>
      <c r="O1" s="6">
        <v>46212</v>
      </c>
      <c r="P1" s="6">
        <v>46213</v>
      </c>
      <c r="Q1" s="6">
        <v>46213</v>
      </c>
      <c r="R1" s="6">
        <v>46214</v>
      </c>
      <c r="S1" s="6">
        <v>46214</v>
      </c>
      <c r="T1" s="6">
        <v>46215</v>
      </c>
      <c r="U1" s="6">
        <v>46216</v>
      </c>
      <c r="V1" s="6">
        <v>46218</v>
      </c>
      <c r="W1" s="6">
        <v>46219</v>
      </c>
      <c r="X1" s="6">
        <v>46220</v>
      </c>
      <c r="Y1" s="6">
        <v>46220</v>
      </c>
      <c r="Z1" s="6">
        <v>46221</v>
      </c>
      <c r="AA1" s="6">
        <v>46222</v>
      </c>
      <c r="AB1" s="6">
        <v>46224</v>
      </c>
      <c r="AC1" s="6">
        <v>46225</v>
      </c>
      <c r="AD1" s="6">
        <v>46225</v>
      </c>
      <c r="AE1" s="6">
        <v>46226</v>
      </c>
      <c r="AF1" s="6">
        <v>46226</v>
      </c>
      <c r="AG1" s="6">
        <v>46227</v>
      </c>
      <c r="AH1" s="6">
        <v>46228</v>
      </c>
      <c r="AI1" s="6">
        <v>46229</v>
      </c>
      <c r="AJ1" s="6">
        <v>46231</v>
      </c>
      <c r="AK1" s="6">
        <v>46231</v>
      </c>
      <c r="AL1" s="6">
        <v>46232</v>
      </c>
      <c r="AM1" s="6">
        <v>46232</v>
      </c>
      <c r="AN1" s="6">
        <v>46233</v>
      </c>
      <c r="AO1" s="6">
        <v>46234</v>
      </c>
      <c r="AP1" s="6">
        <v>46235</v>
      </c>
      <c r="AQ1" s="6">
        <v>46235</v>
      </c>
      <c r="AR1" s="6">
        <v>46236</v>
      </c>
      <c r="AS1" s="6">
        <v>46238</v>
      </c>
      <c r="AT1" s="6">
        <v>46239</v>
      </c>
      <c r="AU1" s="6">
        <v>46239</v>
      </c>
      <c r="AV1" s="6">
        <v>46240</v>
      </c>
      <c r="AW1" s="6">
        <v>46240</v>
      </c>
      <c r="AX1" s="6">
        <v>46241</v>
      </c>
      <c r="AY1" s="6">
        <v>46246</v>
      </c>
      <c r="AZ1" s="6">
        <v>46246</v>
      </c>
      <c r="BA1" s="6">
        <v>46247</v>
      </c>
      <c r="BB1" s="6">
        <v>46248</v>
      </c>
      <c r="BC1" s="6">
        <v>46249</v>
      </c>
      <c r="BD1" s="6">
        <v>46250</v>
      </c>
      <c r="BE1" s="6">
        <v>46251</v>
      </c>
      <c r="BF1" s="6">
        <v>46252</v>
      </c>
      <c r="BG1" s="6">
        <v>46252</v>
      </c>
      <c r="BH1" s="6">
        <v>46253</v>
      </c>
      <c r="BI1" s="6">
        <v>46254</v>
      </c>
      <c r="BJ1" s="6">
        <v>46255</v>
      </c>
      <c r="BK1" s="6">
        <v>46256</v>
      </c>
      <c r="BL1" s="6">
        <v>46259</v>
      </c>
      <c r="BM1" s="6">
        <v>46261</v>
      </c>
      <c r="BN1" s="6">
        <v>46262</v>
      </c>
      <c r="BO1" s="6">
        <v>46263</v>
      </c>
      <c r="BP1" s="6">
        <v>46268</v>
      </c>
      <c r="BQ1" s="6">
        <v>46268</v>
      </c>
      <c r="BR1" s="6">
        <v>46275</v>
      </c>
      <c r="BS1" s="6">
        <v>46278</v>
      </c>
      <c r="BT1" s="6">
        <v>46282</v>
      </c>
    </row>
    <row r="2" spans="1:72" s="2" customFormat="1" x14ac:dyDescent="0.35">
      <c r="B2" s="9">
        <f t="shared" ref="B2:B33" si="0">+A2*H2</f>
        <v>0</v>
      </c>
      <c r="C2" s="2" t="s">
        <v>131</v>
      </c>
      <c r="D2" s="2" t="s">
        <v>155</v>
      </c>
      <c r="F2" s="2" t="s">
        <v>3</v>
      </c>
      <c r="H2" s="3">
        <f t="shared" ref="H2:H33" si="1">+SUM(I2:XFD2,E2)</f>
        <v>0</v>
      </c>
      <c r="BI2" s="2">
        <v>1</v>
      </c>
      <c r="BM2" s="2">
        <v>-1</v>
      </c>
    </row>
    <row r="3" spans="1:72" s="2" customFormat="1" x14ac:dyDescent="0.35">
      <c r="B3" s="9">
        <f t="shared" si="0"/>
        <v>0</v>
      </c>
      <c r="C3" s="2" t="s">
        <v>89</v>
      </c>
      <c r="D3" s="2" t="s">
        <v>83</v>
      </c>
      <c r="E3" s="2">
        <v>1000</v>
      </c>
      <c r="F3" s="2" t="s">
        <v>84</v>
      </c>
      <c r="H3" s="3">
        <f t="shared" si="1"/>
        <v>0</v>
      </c>
      <c r="AE3" s="2">
        <v>-500</v>
      </c>
      <c r="AR3" s="2">
        <v>-500</v>
      </c>
    </row>
    <row r="4" spans="1:72" s="2" customFormat="1" x14ac:dyDescent="0.35">
      <c r="B4" s="9">
        <f t="shared" si="0"/>
        <v>0</v>
      </c>
      <c r="C4" s="2" t="s">
        <v>39</v>
      </c>
      <c r="D4" s="2" t="s">
        <v>68</v>
      </c>
      <c r="E4" s="2">
        <v>0</v>
      </c>
      <c r="F4" s="2" t="s">
        <v>3</v>
      </c>
      <c r="H4" s="3">
        <f t="shared" si="1"/>
        <v>0</v>
      </c>
      <c r="L4" s="2">
        <v>50</v>
      </c>
      <c r="Q4" s="2">
        <v>-50</v>
      </c>
    </row>
    <row r="5" spans="1:72" s="2" customFormat="1" x14ac:dyDescent="0.35">
      <c r="B5" s="9">
        <f t="shared" si="0"/>
        <v>0</v>
      </c>
      <c r="C5" s="2" t="s">
        <v>131</v>
      </c>
      <c r="D5" s="2" t="s">
        <v>135</v>
      </c>
      <c r="F5" s="2" t="s">
        <v>3</v>
      </c>
      <c r="H5" s="3">
        <f t="shared" si="1"/>
        <v>0</v>
      </c>
      <c r="AO5" s="2">
        <v>1</v>
      </c>
      <c r="BB5" s="2">
        <v>-1</v>
      </c>
    </row>
    <row r="6" spans="1:72" s="2" customFormat="1" x14ac:dyDescent="0.35">
      <c r="B6" s="9">
        <f t="shared" si="0"/>
        <v>0</v>
      </c>
      <c r="C6" s="2" t="s">
        <v>89</v>
      </c>
      <c r="D6" s="2" t="s">
        <v>56</v>
      </c>
      <c r="E6" s="2">
        <v>1</v>
      </c>
      <c r="F6" s="2" t="s">
        <v>3</v>
      </c>
      <c r="H6" s="3">
        <f t="shared" si="1"/>
        <v>0</v>
      </c>
      <c r="AA6" s="2">
        <v>-1</v>
      </c>
    </row>
    <row r="7" spans="1:72" s="2" customFormat="1" x14ac:dyDescent="0.35">
      <c r="B7" s="9">
        <f t="shared" si="0"/>
        <v>0</v>
      </c>
      <c r="C7" s="2" t="s">
        <v>89</v>
      </c>
      <c r="D7" s="2" t="s">
        <v>7</v>
      </c>
      <c r="E7" s="2">
        <v>1</v>
      </c>
      <c r="F7" s="2" t="s">
        <v>3</v>
      </c>
      <c r="H7" s="3">
        <f t="shared" si="1"/>
        <v>0</v>
      </c>
      <c r="AT7" s="2">
        <v>-1</v>
      </c>
    </row>
    <row r="8" spans="1:72" s="2" customFormat="1" x14ac:dyDescent="0.35">
      <c r="B8" s="9">
        <f t="shared" si="0"/>
        <v>0</v>
      </c>
      <c r="C8" s="2" t="s">
        <v>89</v>
      </c>
      <c r="D8" s="2" t="s">
        <v>18</v>
      </c>
      <c r="E8" s="2">
        <v>1</v>
      </c>
      <c r="F8" s="2" t="s">
        <v>3</v>
      </c>
      <c r="H8" s="3">
        <f t="shared" si="1"/>
        <v>0</v>
      </c>
      <c r="AA8" s="2">
        <v>-1</v>
      </c>
    </row>
    <row r="9" spans="1:72" s="2" customFormat="1" x14ac:dyDescent="0.35">
      <c r="B9" s="9">
        <f t="shared" si="0"/>
        <v>0</v>
      </c>
      <c r="C9" s="2" t="s">
        <v>55</v>
      </c>
      <c r="D9" s="2" t="s">
        <v>152</v>
      </c>
      <c r="F9" s="2" t="s">
        <v>3</v>
      </c>
      <c r="H9" s="3">
        <f t="shared" si="1"/>
        <v>0</v>
      </c>
      <c r="AT9" s="2">
        <v>3</v>
      </c>
      <c r="AX9" s="2">
        <v>-1</v>
      </c>
      <c r="BA9" s="2">
        <v>-2</v>
      </c>
    </row>
    <row r="10" spans="1:72" s="2" customFormat="1" x14ac:dyDescent="0.35">
      <c r="B10" s="9">
        <f t="shared" si="0"/>
        <v>0</v>
      </c>
      <c r="C10" s="2" t="s">
        <v>6</v>
      </c>
      <c r="D10" s="2" t="s">
        <v>62</v>
      </c>
      <c r="F10" s="2" t="s">
        <v>61</v>
      </c>
      <c r="H10" s="3">
        <f t="shared" si="1"/>
        <v>0</v>
      </c>
      <c r="K10" s="2">
        <v>0.5</v>
      </c>
      <c r="AT10" s="2">
        <v>1</v>
      </c>
      <c r="AX10" s="2">
        <v>-1.5</v>
      </c>
    </row>
    <row r="11" spans="1:72" s="2" customFormat="1" x14ac:dyDescent="0.35">
      <c r="B11" s="9">
        <f t="shared" si="0"/>
        <v>0</v>
      </c>
      <c r="C11" s="2" t="s">
        <v>26</v>
      </c>
      <c r="D11" s="2" t="s">
        <v>60</v>
      </c>
      <c r="F11" s="2" t="s">
        <v>61</v>
      </c>
      <c r="H11" s="3">
        <f t="shared" si="1"/>
        <v>0</v>
      </c>
      <c r="K11" s="2">
        <v>0.5</v>
      </c>
      <c r="Q11" s="2">
        <v>-0.5</v>
      </c>
      <c r="AT11" s="2">
        <v>1</v>
      </c>
      <c r="AX11" s="2">
        <v>-1</v>
      </c>
    </row>
    <row r="12" spans="1:72" s="2" customFormat="1" x14ac:dyDescent="0.35">
      <c r="B12" s="9">
        <f t="shared" si="0"/>
        <v>0</v>
      </c>
      <c r="C12" s="2" t="s">
        <v>89</v>
      </c>
      <c r="D12" s="2" t="s">
        <v>73</v>
      </c>
      <c r="F12" s="2" t="s">
        <v>3</v>
      </c>
      <c r="H12" s="3">
        <f t="shared" si="1"/>
        <v>0</v>
      </c>
      <c r="N12" s="2">
        <v>1</v>
      </c>
      <c r="AA12" s="2">
        <v>-1</v>
      </c>
    </row>
    <row r="13" spans="1:72" s="2" customFormat="1" x14ac:dyDescent="0.35">
      <c r="B13" s="9">
        <f t="shared" si="0"/>
        <v>0</v>
      </c>
      <c r="C13" s="2" t="s">
        <v>6</v>
      </c>
      <c r="D13" s="2" t="s">
        <v>153</v>
      </c>
      <c r="F13" s="2" t="s">
        <v>3</v>
      </c>
      <c r="H13" s="3">
        <f t="shared" si="1"/>
        <v>0</v>
      </c>
      <c r="AZ13" s="2">
        <v>2</v>
      </c>
      <c r="BA13" s="2">
        <v>-1</v>
      </c>
      <c r="BJ13" s="2">
        <v>-1</v>
      </c>
    </row>
    <row r="14" spans="1:72" s="2" customFormat="1" x14ac:dyDescent="0.35">
      <c r="B14" s="9">
        <f t="shared" si="0"/>
        <v>0</v>
      </c>
      <c r="C14" s="2" t="s">
        <v>131</v>
      </c>
      <c r="D14" s="2" t="s">
        <v>134</v>
      </c>
      <c r="F14" s="2" t="s">
        <v>3</v>
      </c>
      <c r="H14" s="3">
        <f t="shared" si="1"/>
        <v>0</v>
      </c>
      <c r="AO14" s="2">
        <v>1</v>
      </c>
      <c r="AV14" s="2">
        <v>-1</v>
      </c>
      <c r="AX14" s="2">
        <v>1</v>
      </c>
      <c r="BM14" s="2">
        <v>-1</v>
      </c>
    </row>
    <row r="15" spans="1:72" s="2" customFormat="1" x14ac:dyDescent="0.35">
      <c r="B15" s="9">
        <f t="shared" si="0"/>
        <v>0</v>
      </c>
      <c r="C15" s="2" t="s">
        <v>39</v>
      </c>
      <c r="D15" s="2" t="s">
        <v>40</v>
      </c>
      <c r="E15" s="2">
        <v>2</v>
      </c>
      <c r="F15" s="2" t="s">
        <v>3</v>
      </c>
      <c r="H15" s="3">
        <f t="shared" si="1"/>
        <v>2</v>
      </c>
      <c r="AD15" s="2">
        <v>-1</v>
      </c>
      <c r="AE15" s="2">
        <v>-1</v>
      </c>
      <c r="AH15" s="2">
        <v>1</v>
      </c>
      <c r="BM15" s="2">
        <v>-1</v>
      </c>
      <c r="BP15" s="2">
        <v>1</v>
      </c>
      <c r="BQ15" s="2">
        <v>1</v>
      </c>
    </row>
    <row r="16" spans="1:72" s="2" customFormat="1" x14ac:dyDescent="0.35">
      <c r="B16" s="9">
        <f t="shared" si="0"/>
        <v>0</v>
      </c>
      <c r="C16" s="2" t="s">
        <v>89</v>
      </c>
      <c r="D16" s="2" t="s">
        <v>65</v>
      </c>
      <c r="E16" s="2">
        <v>1</v>
      </c>
      <c r="F16" s="2" t="s">
        <v>61</v>
      </c>
      <c r="H16" s="3">
        <f t="shared" si="1"/>
        <v>0</v>
      </c>
      <c r="BM16" s="2">
        <v>-1</v>
      </c>
    </row>
    <row r="17" spans="1:70" s="2" customFormat="1" x14ac:dyDescent="0.35">
      <c r="A17" s="2">
        <v>18000</v>
      </c>
      <c r="B17" s="9">
        <f t="shared" si="0"/>
        <v>0</v>
      </c>
      <c r="C17" s="2" t="s">
        <v>55</v>
      </c>
      <c r="D17" s="2" t="s">
        <v>70</v>
      </c>
      <c r="E17" s="2">
        <v>2.8</v>
      </c>
      <c r="F17" s="2" t="s">
        <v>61</v>
      </c>
      <c r="H17" s="3">
        <f t="shared" si="1"/>
        <v>0</v>
      </c>
      <c r="M17" s="2">
        <v>-2.8</v>
      </c>
      <c r="R17" s="2">
        <v>1.6</v>
      </c>
      <c r="AI17" s="2">
        <v>-1.6</v>
      </c>
      <c r="AL17" s="2">
        <v>1.6</v>
      </c>
      <c r="AT17" s="2">
        <v>-1.6</v>
      </c>
      <c r="BJ17" s="2">
        <v>1.77</v>
      </c>
      <c r="BK17" s="2">
        <v>-1.77</v>
      </c>
    </row>
    <row r="18" spans="1:70" s="2" customFormat="1" x14ac:dyDescent="0.35">
      <c r="A18" s="2">
        <v>38000</v>
      </c>
      <c r="B18" s="9">
        <f t="shared" si="0"/>
        <v>76000</v>
      </c>
      <c r="C18" s="2" t="s">
        <v>6</v>
      </c>
      <c r="D18" s="2" t="s">
        <v>33</v>
      </c>
      <c r="E18" s="2">
        <v>2</v>
      </c>
      <c r="F18" s="2" t="s">
        <v>3</v>
      </c>
      <c r="H18" s="3">
        <f t="shared" si="1"/>
        <v>2</v>
      </c>
      <c r="J18" s="2">
        <v>-2</v>
      </c>
      <c r="K18" s="2">
        <v>2</v>
      </c>
      <c r="R18" s="2">
        <v>-1</v>
      </c>
      <c r="S18" s="2">
        <v>2</v>
      </c>
      <c r="V18" s="2">
        <v>-3</v>
      </c>
      <c r="X18" s="2">
        <v>2</v>
      </c>
      <c r="AE18" s="2">
        <v>-2</v>
      </c>
      <c r="AH18" s="2">
        <v>2</v>
      </c>
      <c r="AL18" s="2">
        <v>-2</v>
      </c>
      <c r="AP18" s="2">
        <v>2</v>
      </c>
      <c r="AR18" s="2">
        <v>-2</v>
      </c>
      <c r="AT18" s="2">
        <v>2</v>
      </c>
      <c r="AX18" s="2">
        <v>-1</v>
      </c>
      <c r="AZ18" s="2">
        <v>2</v>
      </c>
      <c r="BA18" s="2">
        <v>-2</v>
      </c>
      <c r="BB18" s="2">
        <v>1</v>
      </c>
      <c r="BI18" s="2">
        <v>-2</v>
      </c>
      <c r="BJ18" s="2">
        <v>2</v>
      </c>
      <c r="BM18" s="2">
        <v>-2</v>
      </c>
      <c r="BR18" s="2">
        <v>2</v>
      </c>
    </row>
    <row r="19" spans="1:70" s="2" customFormat="1" x14ac:dyDescent="0.35">
      <c r="B19" s="9">
        <f t="shared" si="0"/>
        <v>0</v>
      </c>
      <c r="C19" s="2" t="s">
        <v>131</v>
      </c>
      <c r="D19" s="2" t="s">
        <v>133</v>
      </c>
      <c r="F19" s="2" t="s">
        <v>3</v>
      </c>
      <c r="H19" s="3">
        <f t="shared" si="1"/>
        <v>0</v>
      </c>
      <c r="AO19" s="2">
        <v>2</v>
      </c>
      <c r="BK19" s="2">
        <v>-1</v>
      </c>
      <c r="BM19" s="2">
        <v>-1</v>
      </c>
    </row>
    <row r="20" spans="1:70" s="2" customFormat="1" x14ac:dyDescent="0.35">
      <c r="B20" s="9">
        <f t="shared" si="0"/>
        <v>0</v>
      </c>
      <c r="C20" s="2" t="s">
        <v>55</v>
      </c>
      <c r="D20" s="2" t="s">
        <v>69</v>
      </c>
      <c r="E20" s="2">
        <v>2</v>
      </c>
      <c r="F20" s="2" t="s">
        <v>61</v>
      </c>
      <c r="H20" s="3">
        <f t="shared" si="1"/>
        <v>0</v>
      </c>
      <c r="L20" s="2">
        <v>-2</v>
      </c>
      <c r="Q20" s="2">
        <v>-1</v>
      </c>
      <c r="R20" s="2">
        <v>2</v>
      </c>
      <c r="AL20" s="2">
        <v>-1</v>
      </c>
      <c r="AZ20" s="2">
        <v>2</v>
      </c>
      <c r="BK20" s="2">
        <v>-2</v>
      </c>
    </row>
    <row r="21" spans="1:70" s="2" customFormat="1" x14ac:dyDescent="0.35">
      <c r="B21" s="9">
        <f t="shared" si="0"/>
        <v>0</v>
      </c>
      <c r="C21" s="2" t="s">
        <v>89</v>
      </c>
      <c r="D21" s="2" t="s">
        <v>110</v>
      </c>
      <c r="E21" s="2">
        <v>3</v>
      </c>
      <c r="F21" s="2" t="s">
        <v>61</v>
      </c>
      <c r="H21" s="3">
        <f t="shared" si="1"/>
        <v>0</v>
      </c>
      <c r="K21" s="2">
        <v>1</v>
      </c>
      <c r="T21" s="2">
        <v>-1</v>
      </c>
      <c r="AX21" s="2">
        <v>-3</v>
      </c>
      <c r="AZ21" s="2">
        <v>3</v>
      </c>
      <c r="BK21" s="2">
        <v>-3</v>
      </c>
    </row>
    <row r="22" spans="1:70" s="2" customFormat="1" x14ac:dyDescent="0.35">
      <c r="A22" s="2">
        <v>7460</v>
      </c>
      <c r="B22" s="9">
        <f t="shared" si="0"/>
        <v>29840</v>
      </c>
      <c r="C22" s="2" t="s">
        <v>55</v>
      </c>
      <c r="D22" s="2" t="s">
        <v>28</v>
      </c>
      <c r="E22" s="2">
        <v>5</v>
      </c>
      <c r="F22" s="2" t="s">
        <v>3</v>
      </c>
      <c r="H22" s="3">
        <f t="shared" si="1"/>
        <v>4</v>
      </c>
      <c r="J22" s="2">
        <v>-1</v>
      </c>
      <c r="K22" s="2">
        <v>-1</v>
      </c>
      <c r="N22" s="2">
        <v>4</v>
      </c>
      <c r="R22" s="2">
        <v>-1</v>
      </c>
      <c r="X22" s="2">
        <v>-1</v>
      </c>
      <c r="AA22" s="2">
        <v>-2</v>
      </c>
      <c r="AG22" s="2">
        <v>-1</v>
      </c>
      <c r="AL22" s="2">
        <v>-1</v>
      </c>
      <c r="AP22" s="2">
        <v>2</v>
      </c>
      <c r="AT22" s="2">
        <v>-3</v>
      </c>
      <c r="AV22" s="2">
        <v>4</v>
      </c>
      <c r="AX22" s="2">
        <v>-2</v>
      </c>
      <c r="AZ22" s="2">
        <v>2</v>
      </c>
      <c r="BC22" s="2">
        <v>-2</v>
      </c>
      <c r="BF22" s="2">
        <v>2</v>
      </c>
      <c r="BI22" s="2">
        <v>-1</v>
      </c>
      <c r="BJ22" s="2">
        <v>1</v>
      </c>
      <c r="BK22" s="2">
        <v>-1</v>
      </c>
      <c r="BM22" s="2">
        <v>-3</v>
      </c>
      <c r="BP22" s="2">
        <v>3</v>
      </c>
      <c r="BQ22" s="2">
        <v>1</v>
      </c>
    </row>
    <row r="23" spans="1:70" s="2" customFormat="1" x14ac:dyDescent="0.35">
      <c r="B23" s="9">
        <f t="shared" si="0"/>
        <v>0</v>
      </c>
      <c r="C23" s="2" t="s">
        <v>89</v>
      </c>
      <c r="D23" s="2" t="s">
        <v>122</v>
      </c>
      <c r="E23" s="2">
        <v>4</v>
      </c>
      <c r="F23" s="2" t="s">
        <v>61</v>
      </c>
      <c r="H23" s="3">
        <f t="shared" si="1"/>
        <v>0</v>
      </c>
      <c r="BK23" s="2">
        <v>-4</v>
      </c>
    </row>
    <row r="24" spans="1:70" s="2" customFormat="1" x14ac:dyDescent="0.35">
      <c r="B24" s="9">
        <f t="shared" si="0"/>
        <v>0</v>
      </c>
      <c r="C24" s="2" t="s">
        <v>89</v>
      </c>
      <c r="D24" s="2" t="s">
        <v>150</v>
      </c>
      <c r="F24" s="2" t="s">
        <v>3</v>
      </c>
      <c r="H24" s="3">
        <f t="shared" si="1"/>
        <v>4</v>
      </c>
      <c r="AT24" s="2">
        <v>4</v>
      </c>
      <c r="AX24" s="2">
        <v>-4</v>
      </c>
      <c r="AZ24" s="2">
        <v>4</v>
      </c>
      <c r="BK24" s="2">
        <v>-4</v>
      </c>
      <c r="BQ24" s="2">
        <v>4</v>
      </c>
    </row>
    <row r="25" spans="1:70" s="2" customFormat="1" x14ac:dyDescent="0.35">
      <c r="B25" s="9">
        <f t="shared" si="0"/>
        <v>0</v>
      </c>
      <c r="C25" s="2" t="s">
        <v>89</v>
      </c>
      <c r="D25" s="2" t="s">
        <v>151</v>
      </c>
      <c r="F25" s="2" t="s">
        <v>3</v>
      </c>
      <c r="H25" s="3">
        <f t="shared" si="1"/>
        <v>0</v>
      </c>
      <c r="AT25" s="2">
        <v>60</v>
      </c>
      <c r="BJ25" s="2">
        <v>-60</v>
      </c>
    </row>
    <row r="26" spans="1:70" s="2" customFormat="1" x14ac:dyDescent="0.35">
      <c r="B26" s="9">
        <f t="shared" si="0"/>
        <v>0</v>
      </c>
      <c r="C26" s="2" t="s">
        <v>6</v>
      </c>
      <c r="D26" s="2" t="s">
        <v>101</v>
      </c>
      <c r="E26" s="2">
        <v>0.4</v>
      </c>
      <c r="F26" s="2" t="s">
        <v>61</v>
      </c>
      <c r="H26" s="3">
        <f t="shared" si="1"/>
        <v>0.12</v>
      </c>
      <c r="BM26" s="2">
        <v>-0.28000000000000003</v>
      </c>
    </row>
    <row r="27" spans="1:70" s="2" customFormat="1" x14ac:dyDescent="0.35">
      <c r="B27" s="9">
        <f t="shared" si="0"/>
        <v>0</v>
      </c>
      <c r="C27" s="2" t="s">
        <v>6</v>
      </c>
      <c r="D27" s="2" t="s">
        <v>104</v>
      </c>
      <c r="E27" s="2">
        <v>0.14000000000000001</v>
      </c>
      <c r="F27" s="2" t="s">
        <v>61</v>
      </c>
      <c r="H27" s="3">
        <f t="shared" si="1"/>
        <v>0.14000000000000001</v>
      </c>
    </row>
    <row r="28" spans="1:70" s="2" customFormat="1" x14ac:dyDescent="0.35">
      <c r="B28" s="9">
        <f t="shared" si="0"/>
        <v>0</v>
      </c>
      <c r="C28" s="2" t="s">
        <v>6</v>
      </c>
      <c r="D28" s="2" t="s">
        <v>107</v>
      </c>
      <c r="E28" s="2">
        <v>0.24</v>
      </c>
      <c r="F28" s="2" t="s">
        <v>61</v>
      </c>
      <c r="H28" s="3">
        <f t="shared" si="1"/>
        <v>0.24</v>
      </c>
    </row>
    <row r="29" spans="1:70" s="2" customFormat="1" x14ac:dyDescent="0.35">
      <c r="B29" s="9">
        <f t="shared" si="0"/>
        <v>0</v>
      </c>
      <c r="C29" s="2" t="s">
        <v>6</v>
      </c>
      <c r="D29" s="2" t="s">
        <v>105</v>
      </c>
      <c r="E29" s="2">
        <v>0.36</v>
      </c>
      <c r="F29" s="2" t="s">
        <v>61</v>
      </c>
      <c r="H29" s="3">
        <f t="shared" si="1"/>
        <v>0.26</v>
      </c>
      <c r="AN29" s="2">
        <v>-0.1</v>
      </c>
    </row>
    <row r="30" spans="1:70" s="2" customFormat="1" x14ac:dyDescent="0.35">
      <c r="B30" s="9">
        <f t="shared" si="0"/>
        <v>0</v>
      </c>
      <c r="C30" s="2" t="s">
        <v>6</v>
      </c>
      <c r="D30" s="2" t="s">
        <v>106</v>
      </c>
      <c r="E30" s="2">
        <v>0.28000000000000003</v>
      </c>
      <c r="F30" s="2" t="s">
        <v>61</v>
      </c>
      <c r="H30" s="3">
        <f t="shared" si="1"/>
        <v>0.28000000000000003</v>
      </c>
    </row>
    <row r="31" spans="1:70" s="2" customFormat="1" x14ac:dyDescent="0.35">
      <c r="B31" s="9">
        <f t="shared" si="0"/>
        <v>0</v>
      </c>
      <c r="C31" s="2" t="s">
        <v>26</v>
      </c>
      <c r="D31" s="2" t="s">
        <v>124</v>
      </c>
      <c r="E31" s="2">
        <v>1</v>
      </c>
      <c r="F31" s="2" t="s">
        <v>61</v>
      </c>
      <c r="H31" s="3">
        <f t="shared" si="1"/>
        <v>0.30000000000000004</v>
      </c>
      <c r="AN31" s="2">
        <v>-0.2</v>
      </c>
      <c r="BM31" s="2">
        <v>-0.5</v>
      </c>
    </row>
    <row r="32" spans="1:70" s="2" customFormat="1" x14ac:dyDescent="0.35">
      <c r="B32" s="9">
        <f t="shared" si="0"/>
        <v>0</v>
      </c>
      <c r="C32" s="2" t="s">
        <v>89</v>
      </c>
      <c r="D32" s="2" t="s">
        <v>95</v>
      </c>
      <c r="E32" s="2">
        <v>0.33</v>
      </c>
      <c r="F32" s="2" t="s">
        <v>84</v>
      </c>
      <c r="H32" s="3">
        <f t="shared" si="1"/>
        <v>0.33</v>
      </c>
    </row>
    <row r="33" spans="2:69" s="2" customFormat="1" x14ac:dyDescent="0.35">
      <c r="B33" s="9">
        <f t="shared" si="0"/>
        <v>0</v>
      </c>
      <c r="C33" s="2" t="s">
        <v>35</v>
      </c>
      <c r="D33" s="2" t="s">
        <v>79</v>
      </c>
      <c r="E33" s="2">
        <v>1</v>
      </c>
      <c r="F33" s="2" t="s">
        <v>61</v>
      </c>
      <c r="H33" s="3">
        <f t="shared" si="1"/>
        <v>0.7</v>
      </c>
      <c r="M33" s="2">
        <v>-0.3</v>
      </c>
    </row>
    <row r="34" spans="2:69" s="2" customFormat="1" x14ac:dyDescent="0.35">
      <c r="B34" s="9">
        <f t="shared" ref="B34:B65" si="2">+A34*H34</f>
        <v>0</v>
      </c>
      <c r="C34" s="2" t="s">
        <v>6</v>
      </c>
      <c r="D34" s="2" t="s">
        <v>103</v>
      </c>
      <c r="E34" s="2">
        <v>0.7</v>
      </c>
      <c r="F34" s="2" t="s">
        <v>61</v>
      </c>
      <c r="H34" s="3">
        <f t="shared" ref="H34:H65" si="3">+SUM(I34:XFD34,E34)</f>
        <v>0.7</v>
      </c>
    </row>
    <row r="35" spans="2:69" s="2" customFormat="1" x14ac:dyDescent="0.35">
      <c r="B35" s="9">
        <f t="shared" si="2"/>
        <v>0</v>
      </c>
      <c r="C35" s="2" t="s">
        <v>89</v>
      </c>
      <c r="D35" s="2" t="s">
        <v>154</v>
      </c>
      <c r="F35" s="2" t="s">
        <v>84</v>
      </c>
      <c r="H35" s="3">
        <f t="shared" si="3"/>
        <v>0.75</v>
      </c>
      <c r="BG35" s="2">
        <v>0.75</v>
      </c>
    </row>
    <row r="36" spans="2:69" s="2" customFormat="1" x14ac:dyDescent="0.35">
      <c r="B36" s="9">
        <f t="shared" si="2"/>
        <v>0</v>
      </c>
      <c r="C36" s="2" t="s">
        <v>55</v>
      </c>
      <c r="D36" s="2" t="s">
        <v>97</v>
      </c>
      <c r="E36" s="2">
        <v>0</v>
      </c>
      <c r="F36" s="2" t="s">
        <v>61</v>
      </c>
      <c r="G36" s="2" t="s">
        <v>52</v>
      </c>
      <c r="H36" s="7">
        <f t="shared" si="3"/>
        <v>3.0200000000000005</v>
      </c>
      <c r="R36" s="2">
        <v>1.36</v>
      </c>
      <c r="AN36" s="2">
        <v>1</v>
      </c>
      <c r="AR36" s="2">
        <v>-0.8</v>
      </c>
      <c r="AX36" s="2">
        <v>-1.6</v>
      </c>
      <c r="AZ36" s="2">
        <v>1.6</v>
      </c>
      <c r="BK36" s="2">
        <v>-0.5</v>
      </c>
      <c r="BM36" s="2">
        <v>-0.1</v>
      </c>
      <c r="BP36" s="2">
        <v>2.06</v>
      </c>
    </row>
    <row r="37" spans="2:69" s="2" customFormat="1" x14ac:dyDescent="0.35">
      <c r="B37" s="9">
        <f t="shared" si="2"/>
        <v>0</v>
      </c>
      <c r="C37" s="2" t="s">
        <v>26</v>
      </c>
      <c r="D37" s="2" t="s">
        <v>80</v>
      </c>
      <c r="E37" s="2">
        <v>1</v>
      </c>
      <c r="F37" s="2" t="s">
        <v>61</v>
      </c>
      <c r="H37" s="3">
        <f t="shared" si="3"/>
        <v>1</v>
      </c>
      <c r="AI37" s="2">
        <v>-1</v>
      </c>
      <c r="AP37" s="2">
        <v>1</v>
      </c>
      <c r="AT37" s="2">
        <v>-1</v>
      </c>
      <c r="BF37" s="2">
        <v>2</v>
      </c>
      <c r="BH37" s="2">
        <v>-1</v>
      </c>
    </row>
    <row r="38" spans="2:69" s="2" customFormat="1" x14ac:dyDescent="0.35">
      <c r="B38" s="9">
        <f t="shared" si="2"/>
        <v>0</v>
      </c>
      <c r="C38" s="2" t="s">
        <v>39</v>
      </c>
      <c r="D38" s="2" t="s">
        <v>76</v>
      </c>
      <c r="F38" s="2" t="s">
        <v>3</v>
      </c>
      <c r="H38" s="3">
        <f t="shared" si="3"/>
        <v>2</v>
      </c>
      <c r="R38" s="2">
        <v>2</v>
      </c>
      <c r="S38" s="2">
        <v>-1</v>
      </c>
      <c r="AC38" s="2">
        <v>-1</v>
      </c>
      <c r="AI38" s="2">
        <v>1</v>
      </c>
      <c r="AX38" s="2">
        <v>-1</v>
      </c>
      <c r="BF38" s="2">
        <v>1</v>
      </c>
      <c r="BP38" s="2">
        <v>1</v>
      </c>
    </row>
    <row r="39" spans="2:69" s="2" customFormat="1" x14ac:dyDescent="0.35">
      <c r="B39" s="9">
        <f t="shared" si="2"/>
        <v>0</v>
      </c>
      <c r="C39" s="2" t="s">
        <v>55</v>
      </c>
      <c r="D39" s="2" t="s">
        <v>51</v>
      </c>
      <c r="E39" s="2">
        <v>2</v>
      </c>
      <c r="F39" s="2" t="s">
        <v>3</v>
      </c>
      <c r="H39" s="3">
        <f t="shared" si="3"/>
        <v>1</v>
      </c>
      <c r="BB39" s="2">
        <v>-2</v>
      </c>
      <c r="BF39" s="2">
        <v>1</v>
      </c>
    </row>
    <row r="40" spans="2:69" s="2" customFormat="1" x14ac:dyDescent="0.35">
      <c r="B40" s="9">
        <f t="shared" si="2"/>
        <v>0</v>
      </c>
      <c r="C40" s="2" t="s">
        <v>89</v>
      </c>
      <c r="D40" s="2" t="s">
        <v>23</v>
      </c>
      <c r="E40" s="2">
        <v>1</v>
      </c>
      <c r="F40" s="2" t="s">
        <v>3</v>
      </c>
      <c r="H40" s="3">
        <f t="shared" si="3"/>
        <v>1</v>
      </c>
    </row>
    <row r="41" spans="2:69" s="2" customFormat="1" x14ac:dyDescent="0.35">
      <c r="B41" s="9">
        <f t="shared" si="2"/>
        <v>0</v>
      </c>
      <c r="C41" s="2" t="s">
        <v>89</v>
      </c>
      <c r="D41" s="2" t="s">
        <v>24</v>
      </c>
      <c r="E41" s="2">
        <v>1</v>
      </c>
      <c r="F41" s="2" t="s">
        <v>3</v>
      </c>
      <c r="H41" s="3">
        <f t="shared" si="3"/>
        <v>1</v>
      </c>
    </row>
    <row r="42" spans="2:69" s="2" customFormat="1" x14ac:dyDescent="0.35">
      <c r="B42" s="9">
        <f t="shared" si="2"/>
        <v>0</v>
      </c>
      <c r="C42" s="2" t="s">
        <v>6</v>
      </c>
      <c r="D42" s="2" t="s">
        <v>99</v>
      </c>
      <c r="E42" s="2">
        <v>1</v>
      </c>
      <c r="F42" s="2" t="s">
        <v>61</v>
      </c>
      <c r="H42" s="3">
        <f t="shared" si="3"/>
        <v>1</v>
      </c>
    </row>
    <row r="43" spans="2:69" s="2" customFormat="1" x14ac:dyDescent="0.35">
      <c r="B43" s="9">
        <f t="shared" si="2"/>
        <v>0</v>
      </c>
      <c r="C43" s="2" t="s">
        <v>6</v>
      </c>
      <c r="D43" s="2" t="s">
        <v>100</v>
      </c>
      <c r="E43" s="2">
        <v>1</v>
      </c>
      <c r="F43" s="2" t="s">
        <v>61</v>
      </c>
      <c r="H43" s="3">
        <f t="shared" si="3"/>
        <v>1</v>
      </c>
    </row>
    <row r="44" spans="2:69" s="2" customFormat="1" x14ac:dyDescent="0.35">
      <c r="B44" s="9">
        <f t="shared" si="2"/>
        <v>0</v>
      </c>
      <c r="C44" s="2" t="s">
        <v>89</v>
      </c>
      <c r="D44" s="2" t="s">
        <v>93</v>
      </c>
      <c r="E44" s="2">
        <v>2</v>
      </c>
      <c r="F44" s="2" t="s">
        <v>84</v>
      </c>
      <c r="H44" s="3">
        <f t="shared" si="3"/>
        <v>1</v>
      </c>
      <c r="AB44" s="2">
        <v>-1</v>
      </c>
      <c r="AN44" s="2">
        <v>-1</v>
      </c>
      <c r="AP44" s="2">
        <v>1</v>
      </c>
      <c r="BD44" s="2">
        <v>-1</v>
      </c>
      <c r="BF44" s="2">
        <v>1</v>
      </c>
      <c r="BP44" s="2">
        <v>-1</v>
      </c>
      <c r="BQ44" s="2">
        <v>1</v>
      </c>
    </row>
    <row r="45" spans="2:69" s="2" customFormat="1" x14ac:dyDescent="0.35">
      <c r="B45" s="9">
        <f t="shared" si="2"/>
        <v>0</v>
      </c>
      <c r="C45" s="2" t="s">
        <v>89</v>
      </c>
      <c r="D45" s="2" t="s">
        <v>4</v>
      </c>
      <c r="E45" s="2">
        <v>1</v>
      </c>
      <c r="F45" s="2" t="s">
        <v>3</v>
      </c>
      <c r="H45" s="3">
        <f t="shared" si="3"/>
        <v>1</v>
      </c>
    </row>
    <row r="46" spans="2:69" s="2" customFormat="1" x14ac:dyDescent="0.35">
      <c r="B46" s="9">
        <f t="shared" si="2"/>
        <v>0</v>
      </c>
      <c r="C46" s="2" t="s">
        <v>39</v>
      </c>
      <c r="D46" s="2" t="s">
        <v>42</v>
      </c>
      <c r="E46" s="2">
        <v>1</v>
      </c>
      <c r="F46" s="2" t="s">
        <v>3</v>
      </c>
      <c r="H46" s="3">
        <f t="shared" si="3"/>
        <v>1</v>
      </c>
    </row>
    <row r="47" spans="2:69" s="2" customFormat="1" x14ac:dyDescent="0.35">
      <c r="B47" s="9">
        <f t="shared" si="2"/>
        <v>0</v>
      </c>
      <c r="C47" s="2" t="s">
        <v>89</v>
      </c>
      <c r="D47" s="2" t="s">
        <v>37</v>
      </c>
      <c r="E47" s="2">
        <v>1</v>
      </c>
      <c r="F47" s="2" t="s">
        <v>3</v>
      </c>
      <c r="H47" s="3">
        <f t="shared" si="3"/>
        <v>1</v>
      </c>
    </row>
    <row r="48" spans="2:69" s="2" customFormat="1" x14ac:dyDescent="0.35">
      <c r="B48" s="9">
        <f t="shared" si="2"/>
        <v>0</v>
      </c>
      <c r="C48" s="2" t="s">
        <v>89</v>
      </c>
      <c r="D48" s="2" t="s">
        <v>9</v>
      </c>
      <c r="E48" s="2">
        <v>1</v>
      </c>
      <c r="F48" s="2" t="s">
        <v>3</v>
      </c>
      <c r="H48" s="3">
        <f t="shared" si="3"/>
        <v>1</v>
      </c>
    </row>
    <row r="49" spans="2:69" s="2" customFormat="1" x14ac:dyDescent="0.35">
      <c r="B49" s="9">
        <f t="shared" si="2"/>
        <v>0</v>
      </c>
      <c r="C49" s="2" t="s">
        <v>89</v>
      </c>
      <c r="D49" s="2" t="s">
        <v>10</v>
      </c>
      <c r="E49" s="2">
        <v>2</v>
      </c>
      <c r="F49" s="2" t="s">
        <v>3</v>
      </c>
      <c r="H49" s="3">
        <f t="shared" si="3"/>
        <v>0</v>
      </c>
      <c r="X49" s="2">
        <v>-1</v>
      </c>
      <c r="BP49" s="2">
        <v>-1</v>
      </c>
    </row>
    <row r="50" spans="2:69" s="2" customFormat="1" x14ac:dyDescent="0.35">
      <c r="B50" s="9">
        <f t="shared" si="2"/>
        <v>0</v>
      </c>
      <c r="C50" s="2" t="s">
        <v>35</v>
      </c>
      <c r="D50" s="2" t="s">
        <v>29</v>
      </c>
      <c r="E50" s="2">
        <v>2</v>
      </c>
      <c r="F50" s="2" t="s">
        <v>3</v>
      </c>
      <c r="H50" s="3">
        <f t="shared" si="3"/>
        <v>1</v>
      </c>
      <c r="AH50" s="2">
        <v>-1</v>
      </c>
      <c r="AT50" s="2">
        <v>-1</v>
      </c>
      <c r="AX50" s="2">
        <v>2</v>
      </c>
      <c r="BD50" s="2">
        <v>-1</v>
      </c>
    </row>
    <row r="51" spans="2:69" s="2" customFormat="1" x14ac:dyDescent="0.35">
      <c r="B51" s="9">
        <f t="shared" si="2"/>
        <v>0</v>
      </c>
      <c r="C51" s="2" t="s">
        <v>26</v>
      </c>
      <c r="D51" s="2" t="s">
        <v>27</v>
      </c>
      <c r="E51" s="2">
        <v>1</v>
      </c>
      <c r="F51" s="2" t="s">
        <v>3</v>
      </c>
      <c r="H51" s="3">
        <f t="shared" si="3"/>
        <v>0</v>
      </c>
      <c r="BP51" s="2">
        <v>-1</v>
      </c>
    </row>
    <row r="52" spans="2:69" s="2" customFormat="1" x14ac:dyDescent="0.35">
      <c r="B52" s="9">
        <f t="shared" si="2"/>
        <v>0</v>
      </c>
      <c r="C52" s="2" t="s">
        <v>6</v>
      </c>
      <c r="D52" s="2" t="s">
        <v>11</v>
      </c>
      <c r="E52" s="2">
        <v>1</v>
      </c>
      <c r="F52" s="2" t="s">
        <v>3</v>
      </c>
      <c r="H52" s="3">
        <f t="shared" si="3"/>
        <v>1</v>
      </c>
    </row>
    <row r="53" spans="2:69" s="2" customFormat="1" x14ac:dyDescent="0.35">
      <c r="B53" s="9">
        <f t="shared" si="2"/>
        <v>0</v>
      </c>
      <c r="C53" s="2" t="s">
        <v>6</v>
      </c>
      <c r="D53" s="2" t="s">
        <v>102</v>
      </c>
      <c r="E53" s="2">
        <v>1</v>
      </c>
      <c r="F53" s="2" t="s">
        <v>61</v>
      </c>
      <c r="H53" s="3">
        <f t="shared" si="3"/>
        <v>1</v>
      </c>
    </row>
    <row r="54" spans="2:69" s="2" customFormat="1" x14ac:dyDescent="0.35">
      <c r="B54" s="9">
        <f t="shared" si="2"/>
        <v>0</v>
      </c>
      <c r="C54" s="2" t="s">
        <v>89</v>
      </c>
      <c r="D54" s="2" t="s">
        <v>17</v>
      </c>
      <c r="E54" s="2">
        <v>1</v>
      </c>
      <c r="F54" s="2" t="s">
        <v>3</v>
      </c>
      <c r="H54" s="3">
        <f t="shared" si="3"/>
        <v>1</v>
      </c>
    </row>
    <row r="55" spans="2:69" s="2" customFormat="1" x14ac:dyDescent="0.35">
      <c r="B55" s="9">
        <f t="shared" si="2"/>
        <v>0</v>
      </c>
      <c r="C55" s="2" t="s">
        <v>89</v>
      </c>
      <c r="D55" s="2" t="s">
        <v>94</v>
      </c>
      <c r="E55" s="2">
        <v>1.5</v>
      </c>
      <c r="F55" s="2" t="s">
        <v>84</v>
      </c>
      <c r="G55" s="2" t="s">
        <v>21</v>
      </c>
      <c r="H55" s="3">
        <f t="shared" si="3"/>
        <v>1</v>
      </c>
      <c r="AR55" s="2">
        <v>-0.5</v>
      </c>
    </row>
    <row r="56" spans="2:69" s="2" customFormat="1" x14ac:dyDescent="0.35">
      <c r="B56" s="9">
        <f t="shared" si="2"/>
        <v>0</v>
      </c>
      <c r="C56" s="2" t="s">
        <v>89</v>
      </c>
      <c r="D56" s="2" t="s">
        <v>126</v>
      </c>
      <c r="F56" s="2" t="s">
        <v>3</v>
      </c>
      <c r="H56" s="3">
        <f t="shared" si="3"/>
        <v>1</v>
      </c>
      <c r="AN56" s="2">
        <v>2</v>
      </c>
      <c r="AR56" s="2">
        <v>-1</v>
      </c>
      <c r="AT56" s="2">
        <v>-1</v>
      </c>
      <c r="AV56" s="2">
        <v>2</v>
      </c>
      <c r="BF56" s="2">
        <v>-1</v>
      </c>
    </row>
    <row r="57" spans="2:69" s="2" customFormat="1" x14ac:dyDescent="0.35">
      <c r="B57" s="9">
        <f t="shared" si="2"/>
        <v>0</v>
      </c>
      <c r="C57" s="2" t="s">
        <v>89</v>
      </c>
      <c r="D57" s="2" t="s">
        <v>130</v>
      </c>
      <c r="F57" s="2" t="s">
        <v>3</v>
      </c>
      <c r="H57" s="3">
        <f t="shared" si="3"/>
        <v>1</v>
      </c>
      <c r="AO57" s="2">
        <v>2</v>
      </c>
      <c r="AQ57" s="2">
        <v>-1</v>
      </c>
      <c r="AR57" s="2">
        <v>-1</v>
      </c>
      <c r="AS57" s="2">
        <v>2</v>
      </c>
      <c r="BH57" s="2">
        <v>-1</v>
      </c>
    </row>
    <row r="58" spans="2:69" s="2" customFormat="1" x14ac:dyDescent="0.35">
      <c r="B58" s="9">
        <f t="shared" si="2"/>
        <v>0</v>
      </c>
      <c r="C58" s="2" t="s">
        <v>35</v>
      </c>
      <c r="D58" s="2" t="s">
        <v>114</v>
      </c>
      <c r="E58" s="2">
        <v>3</v>
      </c>
      <c r="F58" s="2" t="s">
        <v>3</v>
      </c>
      <c r="H58" s="3">
        <f t="shared" si="3"/>
        <v>3</v>
      </c>
      <c r="V58" s="2">
        <v>-1</v>
      </c>
      <c r="AR58" s="2">
        <v>-1</v>
      </c>
      <c r="AV58" s="2">
        <v>-1</v>
      </c>
      <c r="AW58" s="2">
        <v>2</v>
      </c>
      <c r="BL58" s="2">
        <v>-1</v>
      </c>
      <c r="BP58" s="2">
        <v>2</v>
      </c>
    </row>
    <row r="59" spans="2:69" s="2" customFormat="1" x14ac:dyDescent="0.35">
      <c r="B59" s="9">
        <f t="shared" si="2"/>
        <v>0</v>
      </c>
      <c r="C59" s="2" t="s">
        <v>6</v>
      </c>
      <c r="D59" s="2" t="s">
        <v>19</v>
      </c>
      <c r="E59" s="2">
        <v>1</v>
      </c>
      <c r="F59" s="2" t="s">
        <v>3</v>
      </c>
      <c r="G59" s="2" t="s">
        <v>20</v>
      </c>
      <c r="H59" s="3">
        <f t="shared" si="3"/>
        <v>0</v>
      </c>
      <c r="K59" s="2">
        <v>1</v>
      </c>
      <c r="BK59" s="2">
        <v>-1</v>
      </c>
      <c r="BP59" s="2">
        <v>-1</v>
      </c>
    </row>
    <row r="60" spans="2:69" s="2" customFormat="1" x14ac:dyDescent="0.35">
      <c r="B60" s="9">
        <f t="shared" si="2"/>
        <v>0</v>
      </c>
      <c r="C60" s="2" t="s">
        <v>89</v>
      </c>
      <c r="D60" s="2" t="s">
        <v>90</v>
      </c>
      <c r="E60" s="2">
        <v>3.14</v>
      </c>
      <c r="F60" s="2" t="s">
        <v>61</v>
      </c>
      <c r="H60" s="3">
        <f t="shared" si="3"/>
        <v>1.06</v>
      </c>
      <c r="K60" s="2">
        <v>-0.1</v>
      </c>
      <c r="AB60" s="2">
        <v>-1.04</v>
      </c>
      <c r="BK60" s="2">
        <v>-0.94</v>
      </c>
    </row>
    <row r="61" spans="2:69" s="2" customFormat="1" x14ac:dyDescent="0.35">
      <c r="B61" s="9">
        <f t="shared" si="2"/>
        <v>0</v>
      </c>
      <c r="C61" s="2" t="s">
        <v>131</v>
      </c>
      <c r="D61" s="2" t="s">
        <v>132</v>
      </c>
      <c r="F61" s="2" t="s">
        <v>3</v>
      </c>
      <c r="H61" s="3">
        <f t="shared" si="3"/>
        <v>2</v>
      </c>
      <c r="AO61" s="2">
        <v>2</v>
      </c>
      <c r="AP61" s="2">
        <v>-1</v>
      </c>
      <c r="AT61" s="2">
        <v>-1</v>
      </c>
      <c r="AX61" s="2">
        <v>2</v>
      </c>
      <c r="BB61" s="2">
        <v>-1</v>
      </c>
      <c r="BH61" s="2">
        <v>-1</v>
      </c>
      <c r="BI61" s="2">
        <v>3</v>
      </c>
      <c r="BM61" s="2">
        <v>-1</v>
      </c>
    </row>
    <row r="62" spans="2:69" s="2" customFormat="1" x14ac:dyDescent="0.35">
      <c r="B62" s="9">
        <f t="shared" si="2"/>
        <v>0</v>
      </c>
      <c r="C62" s="2" t="s">
        <v>120</v>
      </c>
      <c r="D62" s="11" t="s">
        <v>58</v>
      </c>
      <c r="E62" s="2">
        <v>5</v>
      </c>
      <c r="F62" s="2" t="s">
        <v>3</v>
      </c>
      <c r="H62" s="3">
        <f t="shared" si="3"/>
        <v>2</v>
      </c>
      <c r="L62" s="2">
        <v>-3</v>
      </c>
      <c r="AI62" s="2">
        <v>-1</v>
      </c>
      <c r="AL62" s="2">
        <v>4</v>
      </c>
      <c r="BJ62" s="2">
        <v>-3</v>
      </c>
    </row>
    <row r="63" spans="2:69" s="2" customFormat="1" x14ac:dyDescent="0.35">
      <c r="B63" s="9">
        <f t="shared" si="2"/>
        <v>0</v>
      </c>
      <c r="C63" s="2" t="s">
        <v>89</v>
      </c>
      <c r="D63" s="2" t="s">
        <v>112</v>
      </c>
      <c r="E63" s="2">
        <v>3</v>
      </c>
      <c r="F63" s="2" t="s">
        <v>61</v>
      </c>
      <c r="H63" s="3">
        <f t="shared" si="3"/>
        <v>4</v>
      </c>
      <c r="V63" s="2">
        <v>-2</v>
      </c>
      <c r="X63" s="2">
        <v>2</v>
      </c>
      <c r="AA63" s="2">
        <v>-2</v>
      </c>
      <c r="AC63" s="2">
        <v>1</v>
      </c>
      <c r="AI63" s="2">
        <v>-2</v>
      </c>
      <c r="AL63" s="2">
        <v>1</v>
      </c>
      <c r="AN63" s="2">
        <v>1</v>
      </c>
      <c r="AP63" s="2">
        <v>1</v>
      </c>
      <c r="BD63" s="2">
        <v>-2</v>
      </c>
      <c r="BF63" s="2">
        <v>1</v>
      </c>
      <c r="BK63" s="2">
        <v>-2</v>
      </c>
      <c r="BM63" s="2">
        <v>2</v>
      </c>
      <c r="BP63" s="2">
        <v>1</v>
      </c>
      <c r="BQ63" s="2">
        <v>1</v>
      </c>
    </row>
    <row r="64" spans="2:69" s="2" customFormat="1" x14ac:dyDescent="0.35">
      <c r="B64" s="9">
        <f t="shared" si="2"/>
        <v>0</v>
      </c>
      <c r="C64" s="2" t="s">
        <v>6</v>
      </c>
      <c r="D64" s="2" t="s">
        <v>32</v>
      </c>
      <c r="E64" s="2">
        <v>1</v>
      </c>
      <c r="F64" s="2" t="s">
        <v>3</v>
      </c>
      <c r="H64" s="3">
        <f t="shared" si="3"/>
        <v>3</v>
      </c>
      <c r="L64" s="2">
        <v>-1</v>
      </c>
      <c r="O64" s="2">
        <v>2</v>
      </c>
      <c r="X64" s="2">
        <v>-1</v>
      </c>
      <c r="AD64" s="2">
        <v>-1</v>
      </c>
      <c r="AI64" s="2">
        <v>1</v>
      </c>
      <c r="AN64" s="2">
        <v>-1</v>
      </c>
      <c r="AP64" s="2">
        <v>2</v>
      </c>
      <c r="AU64" s="2">
        <v>-1</v>
      </c>
      <c r="AX64" s="2">
        <v>-1</v>
      </c>
      <c r="BF64" s="2">
        <v>2</v>
      </c>
      <c r="BP64" s="2">
        <v>1</v>
      </c>
    </row>
    <row r="65" spans="1:69" s="2" customFormat="1" x14ac:dyDescent="0.35">
      <c r="B65" s="9">
        <f t="shared" si="2"/>
        <v>0</v>
      </c>
      <c r="C65" s="2" t="s">
        <v>89</v>
      </c>
      <c r="D65" s="2" t="s">
        <v>12</v>
      </c>
      <c r="E65" s="2">
        <v>1</v>
      </c>
      <c r="F65" s="2" t="s">
        <v>3</v>
      </c>
      <c r="H65" s="3">
        <f t="shared" si="3"/>
        <v>2</v>
      </c>
      <c r="J65" s="2">
        <v>-1</v>
      </c>
      <c r="N65" s="2">
        <v>1</v>
      </c>
      <c r="AG65" s="2">
        <v>-1</v>
      </c>
      <c r="AH65" s="2">
        <v>1</v>
      </c>
      <c r="AT65" s="2">
        <v>-1</v>
      </c>
      <c r="AV65" s="2">
        <v>2</v>
      </c>
      <c r="BD65" s="2">
        <v>-1</v>
      </c>
      <c r="BF65" s="2">
        <v>1</v>
      </c>
      <c r="BP65" s="2">
        <v>-1</v>
      </c>
      <c r="BQ65" s="2">
        <v>1</v>
      </c>
    </row>
    <row r="66" spans="1:69" s="2" customFormat="1" x14ac:dyDescent="0.35">
      <c r="B66" s="9">
        <f t="shared" ref="B66:B97" si="4">+A66*H66</f>
        <v>0</v>
      </c>
      <c r="C66" s="2" t="s">
        <v>89</v>
      </c>
      <c r="D66" s="2" t="s">
        <v>25</v>
      </c>
      <c r="E66" s="2">
        <v>3</v>
      </c>
      <c r="F66" s="2" t="s">
        <v>3</v>
      </c>
      <c r="H66" s="3">
        <f t="shared" ref="H66:H97" si="5">+SUM(I66:XFD66,E66)</f>
        <v>2</v>
      </c>
      <c r="AT66" s="2">
        <v>-1</v>
      </c>
    </row>
    <row r="67" spans="1:69" s="2" customFormat="1" x14ac:dyDescent="0.35">
      <c r="B67" s="9">
        <f t="shared" si="4"/>
        <v>0</v>
      </c>
      <c r="C67" s="2" t="s">
        <v>39</v>
      </c>
      <c r="D67" s="2" t="s">
        <v>46</v>
      </c>
      <c r="E67" s="2">
        <v>1</v>
      </c>
      <c r="F67" s="2" t="s">
        <v>3</v>
      </c>
      <c r="H67" s="3">
        <f t="shared" si="5"/>
        <v>2</v>
      </c>
      <c r="Z67" s="2">
        <v>-1</v>
      </c>
      <c r="AB67" s="2">
        <v>2</v>
      </c>
      <c r="AN67" s="2">
        <v>-1</v>
      </c>
      <c r="AV67" s="2">
        <v>2</v>
      </c>
      <c r="AY67" s="2">
        <v>-1</v>
      </c>
      <c r="BK67" s="2">
        <v>-1</v>
      </c>
      <c r="BL67" s="2">
        <v>1</v>
      </c>
    </row>
    <row r="68" spans="1:69" s="2" customFormat="1" x14ac:dyDescent="0.35">
      <c r="B68" s="9">
        <f t="shared" si="4"/>
        <v>0</v>
      </c>
      <c r="C68" s="2" t="s">
        <v>89</v>
      </c>
      <c r="D68" s="2" t="s">
        <v>92</v>
      </c>
      <c r="E68" s="2">
        <v>2</v>
      </c>
      <c r="F68" s="2" t="s">
        <v>61</v>
      </c>
      <c r="G68" s="2" t="s">
        <v>22</v>
      </c>
      <c r="H68" s="3">
        <f t="shared" si="5"/>
        <v>2</v>
      </c>
    </row>
    <row r="69" spans="1:69" s="2" customFormat="1" x14ac:dyDescent="0.35">
      <c r="B69" s="9">
        <f t="shared" si="4"/>
        <v>0</v>
      </c>
      <c r="C69" s="2" t="s">
        <v>6</v>
      </c>
      <c r="D69" s="2" t="s">
        <v>117</v>
      </c>
      <c r="E69" s="2">
        <v>1</v>
      </c>
      <c r="F69" s="2" t="s">
        <v>3</v>
      </c>
      <c r="G69" s="2" t="s">
        <v>21</v>
      </c>
      <c r="H69" s="3">
        <f t="shared" si="5"/>
        <v>2</v>
      </c>
      <c r="AN69" s="2">
        <v>1</v>
      </c>
    </row>
    <row r="70" spans="1:69" s="2" customFormat="1" x14ac:dyDescent="0.35">
      <c r="A70" s="2">
        <v>1230</v>
      </c>
      <c r="B70" s="9">
        <f t="shared" si="4"/>
        <v>9840</v>
      </c>
      <c r="C70" s="2" t="s">
        <v>35</v>
      </c>
      <c r="D70" s="2" t="s">
        <v>30</v>
      </c>
      <c r="E70" s="2">
        <v>5</v>
      </c>
      <c r="F70" s="2" t="s">
        <v>3</v>
      </c>
      <c r="H70" s="3">
        <f t="shared" si="5"/>
        <v>8</v>
      </c>
      <c r="K70" s="2">
        <v>-1</v>
      </c>
      <c r="P70" s="2">
        <v>-1</v>
      </c>
      <c r="S70" s="2">
        <v>-1</v>
      </c>
      <c r="V70" s="2">
        <v>2</v>
      </c>
      <c r="AA70" s="2">
        <v>-1</v>
      </c>
      <c r="AE70" s="2">
        <v>-1</v>
      </c>
      <c r="AI70" s="2">
        <v>-1</v>
      </c>
      <c r="AP70" s="2">
        <v>-1</v>
      </c>
      <c r="AQ70" s="2">
        <v>2</v>
      </c>
      <c r="AR70" s="2">
        <v>-1</v>
      </c>
      <c r="AT70" s="2">
        <v>2</v>
      </c>
      <c r="AX70" s="2">
        <v>-1</v>
      </c>
      <c r="BB70" s="2">
        <v>2</v>
      </c>
      <c r="BC70" s="2">
        <v>-1</v>
      </c>
      <c r="BF70" s="2">
        <v>1</v>
      </c>
      <c r="BH70" s="2">
        <v>-1</v>
      </c>
      <c r="BJ70" s="2">
        <v>1</v>
      </c>
      <c r="BK70" s="2">
        <v>-1</v>
      </c>
      <c r="BM70" s="2">
        <v>-1</v>
      </c>
      <c r="BP70" s="2">
        <v>6</v>
      </c>
    </row>
    <row r="71" spans="1:69" s="2" customFormat="1" x14ac:dyDescent="0.35">
      <c r="A71" s="2">
        <v>40000</v>
      </c>
      <c r="B71" s="9">
        <f t="shared" si="4"/>
        <v>80000</v>
      </c>
      <c r="C71" s="2" t="s">
        <v>55</v>
      </c>
      <c r="D71" s="2" t="s">
        <v>54</v>
      </c>
      <c r="E71" s="2">
        <v>2</v>
      </c>
      <c r="F71" s="2" t="s">
        <v>3</v>
      </c>
      <c r="H71" s="3">
        <f t="shared" si="5"/>
        <v>2</v>
      </c>
      <c r="J71" s="2">
        <v>-1</v>
      </c>
      <c r="M71" s="2">
        <v>-1</v>
      </c>
      <c r="N71" s="2">
        <v>1</v>
      </c>
      <c r="W71" s="2">
        <v>-1</v>
      </c>
      <c r="X71" s="2">
        <v>2</v>
      </c>
      <c r="Z71" s="2">
        <v>-1</v>
      </c>
      <c r="AB71" s="2">
        <v>-1</v>
      </c>
      <c r="AC71" s="2">
        <v>2</v>
      </c>
      <c r="AI71" s="2">
        <v>-2</v>
      </c>
      <c r="AL71" s="2">
        <v>2</v>
      </c>
      <c r="AM71" s="2">
        <v>-1</v>
      </c>
      <c r="AP71" s="2">
        <v>1</v>
      </c>
      <c r="AQ71" s="2">
        <v>1</v>
      </c>
      <c r="AR71" s="2">
        <v>-1</v>
      </c>
      <c r="AT71" s="2">
        <v>-1</v>
      </c>
      <c r="AV71" s="2">
        <v>1</v>
      </c>
      <c r="AX71" s="2">
        <v>-2</v>
      </c>
      <c r="AZ71" s="2">
        <v>2</v>
      </c>
      <c r="BA71" s="2">
        <v>-1</v>
      </c>
      <c r="BB71" s="2">
        <v>1</v>
      </c>
      <c r="BC71" s="2">
        <v>-1</v>
      </c>
      <c r="BE71" s="2">
        <v>-1</v>
      </c>
      <c r="BF71" s="2">
        <v>2</v>
      </c>
      <c r="BH71" s="2">
        <v>-1</v>
      </c>
      <c r="BJ71" s="2">
        <v>3</v>
      </c>
      <c r="BK71" s="2">
        <v>-1</v>
      </c>
      <c r="BM71" s="2">
        <v>-1</v>
      </c>
    </row>
    <row r="72" spans="1:69" s="2" customFormat="1" x14ac:dyDescent="0.35">
      <c r="B72" s="9">
        <f t="shared" si="4"/>
        <v>0</v>
      </c>
      <c r="C72" s="2" t="s">
        <v>6</v>
      </c>
      <c r="D72" s="2" t="s">
        <v>119</v>
      </c>
      <c r="E72" s="2">
        <v>3.2</v>
      </c>
      <c r="F72" s="2" t="s">
        <v>61</v>
      </c>
      <c r="H72" s="3">
        <f t="shared" si="5"/>
        <v>2.3000000000000003</v>
      </c>
      <c r="M72" s="2">
        <v>-0.3</v>
      </c>
      <c r="AV72" s="2">
        <v>-0.3</v>
      </c>
      <c r="BK72" s="2">
        <v>-0.3</v>
      </c>
    </row>
    <row r="73" spans="1:69" s="2" customFormat="1" x14ac:dyDescent="0.35">
      <c r="B73" s="9">
        <f t="shared" si="4"/>
        <v>0</v>
      </c>
      <c r="C73" s="2" t="s">
        <v>89</v>
      </c>
      <c r="D73" s="2" t="s">
        <v>64</v>
      </c>
      <c r="E73" s="2">
        <v>1.2</v>
      </c>
      <c r="F73" s="2" t="s">
        <v>61</v>
      </c>
      <c r="H73" s="3">
        <f t="shared" si="5"/>
        <v>2</v>
      </c>
      <c r="M73" s="2">
        <v>-1.2</v>
      </c>
      <c r="N73" s="2">
        <v>2</v>
      </c>
      <c r="AI73" s="2">
        <v>-0.5</v>
      </c>
      <c r="AO73" s="2">
        <v>-0.5</v>
      </c>
      <c r="AR73" s="2">
        <v>-1</v>
      </c>
      <c r="AT73" s="2">
        <v>1</v>
      </c>
      <c r="AV73" s="2">
        <v>1</v>
      </c>
      <c r="AX73" s="2">
        <v>-0.5</v>
      </c>
      <c r="AY73" s="2">
        <v>-0.5</v>
      </c>
      <c r="BB73" s="2">
        <v>1</v>
      </c>
      <c r="BK73" s="2">
        <v>-0.5</v>
      </c>
      <c r="BM73" s="2">
        <v>1</v>
      </c>
      <c r="BP73" s="2">
        <v>-0.5</v>
      </c>
    </row>
    <row r="74" spans="1:69" s="2" customFormat="1" x14ac:dyDescent="0.35">
      <c r="B74" s="9">
        <f t="shared" si="4"/>
        <v>0</v>
      </c>
      <c r="C74" s="2" t="s">
        <v>89</v>
      </c>
      <c r="D74" s="2" t="s">
        <v>127</v>
      </c>
      <c r="E74" s="2">
        <v>2</v>
      </c>
      <c r="F74" s="2" t="s">
        <v>61</v>
      </c>
      <c r="G74" s="2" t="s">
        <v>57</v>
      </c>
      <c r="H74" s="3">
        <f t="shared" si="5"/>
        <v>2.5</v>
      </c>
      <c r="AN74" s="2">
        <v>0.5</v>
      </c>
    </row>
    <row r="75" spans="1:69" s="2" customFormat="1" x14ac:dyDescent="0.35">
      <c r="B75" s="9">
        <f t="shared" si="4"/>
        <v>0</v>
      </c>
      <c r="C75" s="2" t="s">
        <v>89</v>
      </c>
      <c r="D75" s="2" t="s">
        <v>129</v>
      </c>
      <c r="E75" s="2">
        <v>5</v>
      </c>
      <c r="F75" s="2" t="s">
        <v>61</v>
      </c>
      <c r="H75" s="3">
        <f t="shared" si="5"/>
        <v>2.5</v>
      </c>
      <c r="K75" s="2">
        <v>-1</v>
      </c>
      <c r="AB75" s="2">
        <v>-2</v>
      </c>
      <c r="AI75" s="2">
        <v>-2</v>
      </c>
      <c r="AL75" s="2">
        <v>4</v>
      </c>
      <c r="BC75" s="2">
        <v>-1</v>
      </c>
      <c r="BK75" s="2">
        <v>-3</v>
      </c>
      <c r="BL75" s="2">
        <v>2.5</v>
      </c>
    </row>
    <row r="76" spans="1:69" s="2" customFormat="1" x14ac:dyDescent="0.35">
      <c r="B76" s="9">
        <f t="shared" si="4"/>
        <v>0</v>
      </c>
      <c r="C76" s="2" t="s">
        <v>89</v>
      </c>
      <c r="D76" s="2" t="s">
        <v>96</v>
      </c>
      <c r="E76" s="2">
        <v>3</v>
      </c>
      <c r="F76" s="2" t="s">
        <v>61</v>
      </c>
      <c r="H76" s="3">
        <f t="shared" si="5"/>
        <v>2.8</v>
      </c>
      <c r="AA76" s="2">
        <v>-1</v>
      </c>
      <c r="AN76" s="2">
        <v>0.8</v>
      </c>
    </row>
    <row r="77" spans="1:69" s="2" customFormat="1" x14ac:dyDescent="0.35">
      <c r="B77" s="9">
        <f t="shared" si="4"/>
        <v>0</v>
      </c>
      <c r="C77" s="2" t="s">
        <v>120</v>
      </c>
      <c r="D77" s="2" t="s">
        <v>72</v>
      </c>
      <c r="F77" s="2" t="s">
        <v>61</v>
      </c>
      <c r="H77" s="3">
        <f t="shared" si="5"/>
        <v>3</v>
      </c>
      <c r="N77" s="2">
        <v>4</v>
      </c>
      <c r="AI77" s="2">
        <v>3</v>
      </c>
      <c r="AO77" s="2">
        <v>-1</v>
      </c>
      <c r="AR77" s="2">
        <v>-1</v>
      </c>
      <c r="BC77" s="2">
        <v>-2</v>
      </c>
      <c r="BI77" s="2">
        <v>-1</v>
      </c>
      <c r="BJ77" s="2">
        <v>1</v>
      </c>
    </row>
    <row r="78" spans="1:69" s="2" customFormat="1" x14ac:dyDescent="0.35">
      <c r="B78" s="9">
        <f t="shared" si="4"/>
        <v>0</v>
      </c>
      <c r="C78" s="2" t="s">
        <v>35</v>
      </c>
      <c r="D78" s="2" t="s">
        <v>36</v>
      </c>
      <c r="E78" s="2">
        <v>5</v>
      </c>
      <c r="F78" s="2" t="s">
        <v>3</v>
      </c>
      <c r="H78" s="3">
        <f t="shared" si="5"/>
        <v>3</v>
      </c>
      <c r="I78" s="2">
        <v>-1</v>
      </c>
      <c r="R78" s="2">
        <v>-1</v>
      </c>
      <c r="V78" s="2">
        <v>-1</v>
      </c>
      <c r="AA78" s="2">
        <v>-1</v>
      </c>
      <c r="AB78" s="2">
        <v>-1</v>
      </c>
      <c r="AC78" s="2">
        <v>2</v>
      </c>
      <c r="AG78" s="2">
        <v>1</v>
      </c>
      <c r="AH78" s="2">
        <v>-1</v>
      </c>
      <c r="AP78" s="2">
        <v>-1</v>
      </c>
      <c r="AR78" s="2">
        <v>-1</v>
      </c>
      <c r="AS78" s="2">
        <v>4</v>
      </c>
      <c r="AX78" s="2">
        <v>-1</v>
      </c>
      <c r="BE78" s="2">
        <v>-1</v>
      </c>
      <c r="BK78" s="2">
        <v>-1</v>
      </c>
      <c r="BL78" s="2">
        <v>2</v>
      </c>
      <c r="BP78" s="2">
        <v>-2</v>
      </c>
      <c r="BQ78" s="2">
        <v>2</v>
      </c>
    </row>
    <row r="79" spans="1:69" s="2" customFormat="1" x14ac:dyDescent="0.35">
      <c r="B79" s="9">
        <f t="shared" si="4"/>
        <v>0</v>
      </c>
      <c r="C79" s="2" t="s">
        <v>89</v>
      </c>
      <c r="D79" s="2" t="s">
        <v>53</v>
      </c>
      <c r="E79" s="2">
        <v>1</v>
      </c>
      <c r="F79" s="2" t="s">
        <v>3</v>
      </c>
      <c r="H79" s="3">
        <f t="shared" si="5"/>
        <v>1</v>
      </c>
      <c r="T79" s="2">
        <v>3</v>
      </c>
      <c r="AD79" s="2">
        <v>-2</v>
      </c>
      <c r="BK79" s="2">
        <v>-2</v>
      </c>
      <c r="BM79" s="2">
        <v>3</v>
      </c>
      <c r="BP79" s="2">
        <v>-2</v>
      </c>
    </row>
    <row r="80" spans="1:69" s="2" customFormat="1" x14ac:dyDescent="0.35">
      <c r="B80" s="9">
        <f t="shared" si="4"/>
        <v>0</v>
      </c>
      <c r="C80" s="2" t="s">
        <v>89</v>
      </c>
      <c r="D80" s="2" t="s">
        <v>15</v>
      </c>
      <c r="E80" s="2">
        <v>3</v>
      </c>
      <c r="F80" s="2" t="s">
        <v>3</v>
      </c>
      <c r="H80" s="3">
        <f t="shared" si="5"/>
        <v>3</v>
      </c>
    </row>
    <row r="81" spans="1:70" s="2" customFormat="1" x14ac:dyDescent="0.35">
      <c r="B81" s="9">
        <f t="shared" si="4"/>
        <v>0</v>
      </c>
      <c r="C81" s="2" t="s">
        <v>89</v>
      </c>
      <c r="D81" s="2" t="s">
        <v>109</v>
      </c>
      <c r="E81" s="2">
        <v>3</v>
      </c>
      <c r="F81" s="2" t="s">
        <v>3</v>
      </c>
      <c r="H81" s="3">
        <f t="shared" si="5"/>
        <v>3</v>
      </c>
      <c r="I81" s="2">
        <v>-1</v>
      </c>
      <c r="Z81" s="2">
        <v>-1</v>
      </c>
      <c r="AC81" s="2">
        <v>-1</v>
      </c>
      <c r="AE81" s="2">
        <v>3</v>
      </c>
      <c r="AH81" s="2">
        <v>-1</v>
      </c>
      <c r="AJ81" s="2">
        <v>-1</v>
      </c>
      <c r="AL81" s="2">
        <v>1</v>
      </c>
      <c r="AM81" s="2">
        <v>-1</v>
      </c>
      <c r="AP81" s="2">
        <v>1</v>
      </c>
      <c r="AV81" s="2">
        <v>-1</v>
      </c>
      <c r="AZ81" s="2">
        <v>2</v>
      </c>
      <c r="BK81" s="2">
        <v>-2</v>
      </c>
      <c r="BM81" s="2">
        <v>2</v>
      </c>
      <c r="BP81" s="2">
        <v>-1</v>
      </c>
      <c r="BQ81" s="2">
        <v>-1</v>
      </c>
      <c r="BR81" s="2">
        <v>2</v>
      </c>
    </row>
    <row r="82" spans="1:70" s="2" customFormat="1" x14ac:dyDescent="0.35">
      <c r="B82" s="9">
        <f t="shared" si="4"/>
        <v>0</v>
      </c>
      <c r="C82" s="2" t="s">
        <v>89</v>
      </c>
      <c r="D82" s="2" t="s">
        <v>8</v>
      </c>
      <c r="E82" s="2">
        <v>1</v>
      </c>
      <c r="F82" s="2" t="s">
        <v>3</v>
      </c>
      <c r="H82" s="3">
        <f t="shared" si="5"/>
        <v>3</v>
      </c>
      <c r="N82" s="2">
        <v>2</v>
      </c>
      <c r="BP82" s="2">
        <v>-2</v>
      </c>
      <c r="BR82" s="2">
        <v>2</v>
      </c>
    </row>
    <row r="83" spans="1:70" s="2" customFormat="1" x14ac:dyDescent="0.35">
      <c r="B83" s="9">
        <f t="shared" si="4"/>
        <v>0</v>
      </c>
      <c r="C83" s="2" t="s">
        <v>89</v>
      </c>
      <c r="D83" s="2" t="s">
        <v>75</v>
      </c>
      <c r="F83" s="2" t="s">
        <v>3</v>
      </c>
      <c r="H83" s="3">
        <f t="shared" si="5"/>
        <v>2</v>
      </c>
      <c r="P83" s="2">
        <v>2</v>
      </c>
      <c r="Q83" s="2">
        <v>-1</v>
      </c>
      <c r="V83" s="2">
        <v>2</v>
      </c>
      <c r="AA83" s="2">
        <v>-1</v>
      </c>
      <c r="AO83" s="2">
        <v>-1</v>
      </c>
      <c r="AX83" s="2">
        <v>-1</v>
      </c>
      <c r="AY83" s="2">
        <v>4</v>
      </c>
      <c r="BJ83" s="2">
        <v>-1</v>
      </c>
      <c r="BP83" s="2">
        <v>-1</v>
      </c>
    </row>
    <row r="84" spans="1:70" s="2" customFormat="1" x14ac:dyDescent="0.35">
      <c r="B84" s="9">
        <f t="shared" si="4"/>
        <v>0</v>
      </c>
      <c r="C84" s="2" t="s">
        <v>6</v>
      </c>
      <c r="D84" s="2" t="s">
        <v>63</v>
      </c>
      <c r="E84" s="2">
        <v>0.5</v>
      </c>
      <c r="F84" s="2" t="s">
        <v>61</v>
      </c>
      <c r="H84" s="3">
        <f t="shared" si="5"/>
        <v>2</v>
      </c>
      <c r="K84" s="2">
        <v>1</v>
      </c>
      <c r="Q84" s="2">
        <v>-1.5</v>
      </c>
      <c r="AD84" s="2">
        <v>1</v>
      </c>
      <c r="AJ84" s="2">
        <v>-0.5</v>
      </c>
      <c r="AO84" s="2">
        <v>-0.5</v>
      </c>
      <c r="AP84" s="2">
        <v>2</v>
      </c>
      <c r="AQ84" s="2">
        <v>-1</v>
      </c>
      <c r="AV84" s="2">
        <v>-0.1</v>
      </c>
      <c r="AY84" s="2">
        <v>3</v>
      </c>
      <c r="BK84" s="2">
        <v>-0.9</v>
      </c>
      <c r="BP84" s="2">
        <v>-1</v>
      </c>
    </row>
    <row r="85" spans="1:70" s="2" customFormat="1" x14ac:dyDescent="0.35">
      <c r="A85" s="2">
        <v>2940</v>
      </c>
      <c r="B85" s="9">
        <f t="shared" si="4"/>
        <v>5880</v>
      </c>
      <c r="C85" s="2" t="s">
        <v>89</v>
      </c>
      <c r="D85" s="2" t="s">
        <v>91</v>
      </c>
      <c r="E85" s="2">
        <v>3</v>
      </c>
      <c r="F85" s="2" t="s">
        <v>61</v>
      </c>
      <c r="H85" s="3">
        <f t="shared" si="5"/>
        <v>2</v>
      </c>
      <c r="P85" s="2">
        <v>-1</v>
      </c>
      <c r="U85" s="2">
        <v>-1</v>
      </c>
      <c r="V85" s="2">
        <v>2</v>
      </c>
      <c r="AA85" s="2">
        <v>-1</v>
      </c>
      <c r="AH85" s="2">
        <v>-1</v>
      </c>
      <c r="AI85" s="2">
        <v>-1</v>
      </c>
      <c r="AL85" s="2">
        <v>2</v>
      </c>
      <c r="AM85" s="2">
        <v>-1</v>
      </c>
      <c r="AP85" s="2">
        <v>2</v>
      </c>
      <c r="AR85" s="2">
        <v>-1</v>
      </c>
      <c r="AU85" s="2">
        <v>-1</v>
      </c>
      <c r="AV85" s="2">
        <v>2</v>
      </c>
      <c r="BC85" s="2">
        <v>-1</v>
      </c>
      <c r="BF85" s="2">
        <v>1</v>
      </c>
      <c r="BH85" s="2">
        <v>-1</v>
      </c>
      <c r="BJ85" s="2">
        <v>2</v>
      </c>
      <c r="BK85" s="2">
        <v>-1</v>
      </c>
      <c r="BP85" s="2">
        <v>-1</v>
      </c>
      <c r="BQ85" s="2">
        <v>-1</v>
      </c>
      <c r="BR85" s="2">
        <v>1</v>
      </c>
    </row>
    <row r="86" spans="1:70" s="2" customFormat="1" x14ac:dyDescent="0.35">
      <c r="A86" s="2">
        <v>1800</v>
      </c>
      <c r="B86" s="9">
        <f t="shared" si="4"/>
        <v>10800</v>
      </c>
      <c r="C86" s="2" t="s">
        <v>89</v>
      </c>
      <c r="D86" s="2" t="s">
        <v>77</v>
      </c>
      <c r="E86" s="2">
        <v>3</v>
      </c>
      <c r="F86" s="2" t="s">
        <v>3</v>
      </c>
      <c r="H86" s="3">
        <f t="shared" si="5"/>
        <v>6</v>
      </c>
      <c r="K86" s="2">
        <v>7</v>
      </c>
      <c r="W86" s="2">
        <v>-1</v>
      </c>
      <c r="Z86" s="2">
        <v>-1</v>
      </c>
      <c r="AC86" s="2">
        <v>-1</v>
      </c>
      <c r="AE86" s="2">
        <v>-6</v>
      </c>
      <c r="AH86" s="2">
        <v>6</v>
      </c>
      <c r="AJ86" s="2">
        <v>-1</v>
      </c>
      <c r="AT86" s="2">
        <v>-6</v>
      </c>
      <c r="AU86" s="2">
        <v>3</v>
      </c>
      <c r="AV86" s="2">
        <v>2</v>
      </c>
      <c r="AX86" s="2">
        <v>-1</v>
      </c>
      <c r="BB86" s="2">
        <v>2</v>
      </c>
      <c r="BE86" s="2">
        <v>-4</v>
      </c>
      <c r="BJ86" s="2">
        <v>3</v>
      </c>
      <c r="BK86" s="2">
        <v>-2</v>
      </c>
      <c r="BP86" s="2">
        <v>1</v>
      </c>
      <c r="BQ86" s="2">
        <v>2</v>
      </c>
    </row>
    <row r="87" spans="1:70" s="2" customFormat="1" x14ac:dyDescent="0.35">
      <c r="B87" s="9">
        <f t="shared" si="4"/>
        <v>0</v>
      </c>
      <c r="C87" s="2" t="s">
        <v>89</v>
      </c>
      <c r="D87" s="2" t="s">
        <v>5</v>
      </c>
      <c r="E87" s="2">
        <v>3</v>
      </c>
      <c r="F87" s="2" t="s">
        <v>3</v>
      </c>
      <c r="H87" s="3">
        <f t="shared" si="5"/>
        <v>6</v>
      </c>
      <c r="J87" s="2">
        <v>-1</v>
      </c>
      <c r="K87" s="2">
        <v>-1</v>
      </c>
      <c r="N87" s="2">
        <v>1</v>
      </c>
      <c r="T87" s="2">
        <v>-1</v>
      </c>
      <c r="X87" s="2">
        <v>1</v>
      </c>
      <c r="AA87" s="2">
        <v>-1</v>
      </c>
      <c r="AD87" s="2">
        <v>1</v>
      </c>
      <c r="AE87" s="2">
        <v>-1</v>
      </c>
      <c r="AH87" s="2">
        <v>1</v>
      </c>
      <c r="AN87" s="2">
        <v>-1</v>
      </c>
      <c r="AP87" s="2">
        <v>1</v>
      </c>
      <c r="AR87" s="2">
        <v>-2</v>
      </c>
      <c r="AT87" s="2">
        <v>2</v>
      </c>
      <c r="AV87" s="2">
        <v>1</v>
      </c>
      <c r="AX87" s="2">
        <v>-1</v>
      </c>
      <c r="BA87" s="2">
        <v>-1</v>
      </c>
      <c r="BB87" s="2">
        <v>6</v>
      </c>
      <c r="BD87" s="2">
        <v>-1</v>
      </c>
      <c r="BI87" s="2">
        <v>-1</v>
      </c>
      <c r="BJ87" s="2">
        <v>-1</v>
      </c>
      <c r="BK87" s="2">
        <v>-1</v>
      </c>
      <c r="BO87" s="2">
        <v>-1</v>
      </c>
      <c r="BP87" s="2">
        <v>6</v>
      </c>
      <c r="BQ87" s="2">
        <v>-2</v>
      </c>
    </row>
    <row r="88" spans="1:70" s="2" customFormat="1" x14ac:dyDescent="0.35">
      <c r="B88" s="9">
        <f t="shared" si="4"/>
        <v>0</v>
      </c>
      <c r="C88" s="2" t="s">
        <v>26</v>
      </c>
      <c r="D88" s="2" t="s">
        <v>123</v>
      </c>
      <c r="E88" s="2">
        <v>4</v>
      </c>
      <c r="F88" s="2" t="s">
        <v>61</v>
      </c>
      <c r="H88" s="3">
        <f t="shared" si="5"/>
        <v>4</v>
      </c>
    </row>
    <row r="89" spans="1:70" s="2" customFormat="1" x14ac:dyDescent="0.35">
      <c r="B89" s="9">
        <f t="shared" si="4"/>
        <v>0</v>
      </c>
      <c r="C89" s="2" t="s">
        <v>89</v>
      </c>
      <c r="D89" s="2" t="s">
        <v>47</v>
      </c>
      <c r="E89" s="2">
        <v>2</v>
      </c>
      <c r="F89" s="2" t="s">
        <v>3</v>
      </c>
      <c r="H89" s="3">
        <f t="shared" si="5"/>
        <v>1</v>
      </c>
      <c r="K89" s="2">
        <v>-1</v>
      </c>
      <c r="P89" s="2">
        <v>-1</v>
      </c>
      <c r="V89" s="2">
        <v>2</v>
      </c>
      <c r="W89" s="2">
        <v>-1</v>
      </c>
      <c r="AB89" s="2">
        <v>-1</v>
      </c>
      <c r="AI89" s="2">
        <v>2</v>
      </c>
      <c r="AR89" s="2">
        <v>-1</v>
      </c>
      <c r="AX89" s="2">
        <v>-1</v>
      </c>
      <c r="AY89" s="2">
        <v>6</v>
      </c>
      <c r="BD89" s="2">
        <v>-1</v>
      </c>
      <c r="BK89" s="2">
        <v>-1</v>
      </c>
      <c r="BP89" s="2">
        <v>-3</v>
      </c>
    </row>
    <row r="90" spans="1:70" s="2" customFormat="1" x14ac:dyDescent="0.35">
      <c r="B90" s="9">
        <f t="shared" si="4"/>
        <v>0</v>
      </c>
      <c r="C90" s="2" t="s">
        <v>26</v>
      </c>
      <c r="D90" s="2" t="s">
        <v>161</v>
      </c>
      <c r="E90" s="2">
        <v>1</v>
      </c>
      <c r="F90" s="2" t="s">
        <v>61</v>
      </c>
      <c r="H90" s="3">
        <f t="shared" si="5"/>
        <v>4.8</v>
      </c>
      <c r="AJ90" s="2">
        <v>3</v>
      </c>
      <c r="BH90" s="2">
        <v>-1.8</v>
      </c>
      <c r="BM90" s="2">
        <v>2.6</v>
      </c>
    </row>
    <row r="91" spans="1:70" s="2" customFormat="1" x14ac:dyDescent="0.35">
      <c r="A91" s="2">
        <v>9875</v>
      </c>
      <c r="B91" s="9">
        <f t="shared" si="4"/>
        <v>39500</v>
      </c>
      <c r="C91" s="2" t="s">
        <v>6</v>
      </c>
      <c r="D91" s="2" t="s">
        <v>34</v>
      </c>
      <c r="E91" s="2">
        <v>7</v>
      </c>
      <c r="F91" s="2" t="s">
        <v>3</v>
      </c>
      <c r="H91" s="3">
        <f t="shared" si="5"/>
        <v>4</v>
      </c>
      <c r="K91" s="2">
        <v>-1</v>
      </c>
      <c r="N91" s="2">
        <v>-1</v>
      </c>
      <c r="X91" s="2">
        <v>-1</v>
      </c>
      <c r="Y91" s="2">
        <v>-1</v>
      </c>
      <c r="AC91" s="2">
        <v>4</v>
      </c>
      <c r="AG91" s="2">
        <v>-1</v>
      </c>
      <c r="AH91" s="2">
        <v>-1</v>
      </c>
      <c r="AI91" s="2">
        <v>-2</v>
      </c>
      <c r="AL91" s="2">
        <v>1</v>
      </c>
      <c r="AR91" s="2">
        <v>-1</v>
      </c>
      <c r="AX91" s="2">
        <v>-3</v>
      </c>
      <c r="AZ91" s="2">
        <v>4</v>
      </c>
      <c r="BD91" s="2">
        <v>-1</v>
      </c>
      <c r="BH91" s="2">
        <v>-1</v>
      </c>
      <c r="BI91" s="2">
        <v>-1</v>
      </c>
      <c r="BJ91" s="2">
        <v>4</v>
      </c>
      <c r="BP91" s="2">
        <v>1</v>
      </c>
      <c r="BQ91" s="2">
        <v>-2</v>
      </c>
    </row>
    <row r="92" spans="1:70" s="2" customFormat="1" x14ac:dyDescent="0.35">
      <c r="A92" s="2">
        <v>1120</v>
      </c>
      <c r="B92" s="9">
        <f t="shared" si="4"/>
        <v>6720</v>
      </c>
      <c r="C92" s="2" t="s">
        <v>89</v>
      </c>
      <c r="D92" s="2" t="s">
        <v>108</v>
      </c>
      <c r="E92" s="2">
        <v>8</v>
      </c>
      <c r="F92" s="2" t="s">
        <v>3</v>
      </c>
      <c r="H92" s="3">
        <f t="shared" si="5"/>
        <v>6</v>
      </c>
      <c r="K92" s="2">
        <v>5</v>
      </c>
      <c r="R92" s="2">
        <v>-1</v>
      </c>
      <c r="T92" s="2">
        <v>-4</v>
      </c>
      <c r="AC92" s="2">
        <v>-1</v>
      </c>
      <c r="AE92" s="2">
        <v>-4</v>
      </c>
      <c r="AH92" s="2">
        <v>-1</v>
      </c>
      <c r="AI92" s="2">
        <v>3</v>
      </c>
      <c r="AT92" s="2">
        <v>-4</v>
      </c>
      <c r="AU92" s="2">
        <v>5</v>
      </c>
      <c r="AV92" s="2">
        <v>-1</v>
      </c>
      <c r="BB92" s="2">
        <v>1</v>
      </c>
      <c r="BE92" s="2">
        <v>-5</v>
      </c>
      <c r="BJ92" s="2">
        <v>4</v>
      </c>
      <c r="BP92" s="2">
        <v>-1</v>
      </c>
      <c r="BQ92" s="2">
        <v>2</v>
      </c>
    </row>
    <row r="93" spans="1:70" s="2" customFormat="1" x14ac:dyDescent="0.35">
      <c r="A93" s="2">
        <v>1350</v>
      </c>
      <c r="B93" s="9">
        <f t="shared" si="4"/>
        <v>5400</v>
      </c>
      <c r="C93" s="2" t="s">
        <v>89</v>
      </c>
      <c r="D93" s="2" t="s">
        <v>78</v>
      </c>
      <c r="E93" s="2">
        <v>6</v>
      </c>
      <c r="F93" s="2" t="s">
        <v>3</v>
      </c>
      <c r="H93" s="3">
        <f t="shared" si="5"/>
        <v>4</v>
      </c>
      <c r="K93" s="2">
        <v>3</v>
      </c>
      <c r="T93" s="2">
        <v>-1</v>
      </c>
      <c r="W93" s="2">
        <v>-1</v>
      </c>
      <c r="AA93" s="2">
        <v>-1</v>
      </c>
      <c r="AJ93" s="2">
        <v>-1</v>
      </c>
      <c r="AT93" s="2">
        <v>-1</v>
      </c>
      <c r="BF93" s="2">
        <v>-1</v>
      </c>
      <c r="BJ93" s="2">
        <v>2</v>
      </c>
      <c r="BQ93" s="2">
        <v>-1</v>
      </c>
    </row>
    <row r="94" spans="1:70" s="2" customFormat="1" x14ac:dyDescent="0.35">
      <c r="B94" s="9">
        <f t="shared" si="4"/>
        <v>0</v>
      </c>
      <c r="C94" s="2" t="s">
        <v>35</v>
      </c>
      <c r="D94" s="2" t="s">
        <v>31</v>
      </c>
      <c r="E94" s="2">
        <v>5</v>
      </c>
      <c r="F94" s="2" t="s">
        <v>3</v>
      </c>
      <c r="H94" s="3">
        <f t="shared" si="5"/>
        <v>5</v>
      </c>
    </row>
    <row r="95" spans="1:70" s="2" customFormat="1" x14ac:dyDescent="0.35">
      <c r="B95" s="9">
        <f t="shared" si="4"/>
        <v>0</v>
      </c>
      <c r="C95" s="2" t="s">
        <v>39</v>
      </c>
      <c r="D95" s="2" t="s">
        <v>82</v>
      </c>
      <c r="E95" s="2">
        <v>4</v>
      </c>
      <c r="F95" s="2" t="s">
        <v>3</v>
      </c>
      <c r="H95" s="3">
        <f t="shared" si="5"/>
        <v>8</v>
      </c>
      <c r="O95" s="2">
        <v>-1</v>
      </c>
      <c r="S95" s="2">
        <v>-1</v>
      </c>
      <c r="T95" s="2">
        <v>-1</v>
      </c>
      <c r="Z95" s="2">
        <v>-1</v>
      </c>
      <c r="AB95" s="2">
        <v>4</v>
      </c>
      <c r="AC95" s="2">
        <v>-1</v>
      </c>
      <c r="AH95" s="2">
        <v>-2</v>
      </c>
      <c r="AM95" s="2">
        <v>4</v>
      </c>
      <c r="AN95" s="2">
        <v>-1</v>
      </c>
      <c r="AR95" s="2">
        <v>-2</v>
      </c>
      <c r="AU95" s="2">
        <v>6</v>
      </c>
      <c r="AX95" s="2">
        <v>-1</v>
      </c>
      <c r="BC95" s="2">
        <v>-1</v>
      </c>
      <c r="BK95" s="2">
        <v>-1</v>
      </c>
      <c r="BP95" s="2">
        <v>3</v>
      </c>
    </row>
    <row r="96" spans="1:70" s="2" customFormat="1" x14ac:dyDescent="0.35">
      <c r="B96" s="9">
        <f t="shared" si="4"/>
        <v>0</v>
      </c>
      <c r="C96" s="2" t="s">
        <v>55</v>
      </c>
      <c r="D96" s="2" t="s">
        <v>125</v>
      </c>
      <c r="E96" s="2">
        <v>1</v>
      </c>
      <c r="F96" s="2" t="s">
        <v>61</v>
      </c>
      <c r="H96" s="3">
        <f t="shared" si="5"/>
        <v>5.91</v>
      </c>
      <c r="AI96" s="2">
        <v>-1</v>
      </c>
      <c r="AL96" s="2">
        <v>1</v>
      </c>
      <c r="AN96" s="2">
        <v>7.5</v>
      </c>
      <c r="AO96" s="2">
        <v>1</v>
      </c>
      <c r="AR96" s="2">
        <v>-3</v>
      </c>
      <c r="AZ96" s="2">
        <v>-2.4</v>
      </c>
      <c r="BB96" s="2">
        <v>6.21</v>
      </c>
      <c r="BD96" s="2">
        <v>-1.4</v>
      </c>
      <c r="BJ96" s="2">
        <v>-3</v>
      </c>
    </row>
    <row r="97" spans="1:70" s="2" customFormat="1" x14ac:dyDescent="0.35">
      <c r="B97" s="9">
        <f t="shared" si="4"/>
        <v>0</v>
      </c>
      <c r="C97" s="2" t="s">
        <v>35</v>
      </c>
      <c r="D97" s="2" t="s">
        <v>113</v>
      </c>
      <c r="E97" s="2">
        <v>8</v>
      </c>
      <c r="F97" s="2" t="s">
        <v>3</v>
      </c>
      <c r="H97" s="3">
        <f t="shared" si="5"/>
        <v>5</v>
      </c>
      <c r="J97" s="2">
        <v>-1</v>
      </c>
      <c r="U97" s="2">
        <v>-2</v>
      </c>
      <c r="V97" s="2">
        <v>-2</v>
      </c>
      <c r="AC97" s="2">
        <v>6</v>
      </c>
      <c r="AJ97" s="2">
        <v>-1</v>
      </c>
      <c r="AR97" s="2">
        <v>6</v>
      </c>
      <c r="AS97" s="2">
        <v>-1</v>
      </c>
      <c r="AV97" s="2">
        <v>-1</v>
      </c>
      <c r="AY97" s="2">
        <v>-2</v>
      </c>
      <c r="BH97" s="2">
        <v>-2</v>
      </c>
      <c r="BP97" s="2">
        <v>-4</v>
      </c>
      <c r="BQ97" s="2">
        <v>1</v>
      </c>
    </row>
    <row r="98" spans="1:70" s="2" customFormat="1" x14ac:dyDescent="0.35">
      <c r="B98" s="9">
        <f t="shared" ref="B98:B126" si="6">+A98*H98</f>
        <v>0</v>
      </c>
      <c r="C98" s="2" t="s">
        <v>35</v>
      </c>
      <c r="D98" s="2" t="s">
        <v>162</v>
      </c>
      <c r="E98" s="2">
        <v>21</v>
      </c>
      <c r="F98" s="2" t="s">
        <v>61</v>
      </c>
      <c r="H98" s="3">
        <f t="shared" ref="H98:H126" si="7">+SUM(I98:XFD98,E98)</f>
        <v>25</v>
      </c>
      <c r="I98" s="2">
        <v>-1</v>
      </c>
      <c r="J98" s="2">
        <v>-1</v>
      </c>
      <c r="K98" s="2">
        <v>-2</v>
      </c>
      <c r="M98" s="2">
        <v>-2</v>
      </c>
      <c r="N98" s="2">
        <v>-1</v>
      </c>
      <c r="O98" s="2">
        <v>10</v>
      </c>
      <c r="P98" s="2">
        <v>-2</v>
      </c>
      <c r="R98" s="2">
        <v>-2</v>
      </c>
      <c r="T98" s="2">
        <v>-4</v>
      </c>
      <c r="U98" s="2">
        <v>-3</v>
      </c>
      <c r="W98" s="2">
        <v>-1</v>
      </c>
      <c r="AA98" s="2">
        <v>-8</v>
      </c>
      <c r="AB98" s="2">
        <v>20</v>
      </c>
      <c r="AC98" s="2">
        <v>-4</v>
      </c>
      <c r="AE98" s="2">
        <v>-1</v>
      </c>
      <c r="AG98" s="2">
        <v>-2</v>
      </c>
      <c r="AH98" s="2">
        <v>-5</v>
      </c>
      <c r="AI98" s="2">
        <v>-2</v>
      </c>
      <c r="AJ98" s="2">
        <v>-1</v>
      </c>
      <c r="AL98" s="2">
        <v>-5</v>
      </c>
      <c r="AM98" s="2">
        <v>10</v>
      </c>
      <c r="AO98" s="2">
        <v>-1</v>
      </c>
      <c r="AR98" s="2">
        <v>-5</v>
      </c>
      <c r="AT98" s="2">
        <v>-6</v>
      </c>
      <c r="AU98" s="2">
        <v>20</v>
      </c>
      <c r="AV98" s="2">
        <v>-3</v>
      </c>
      <c r="AX98" s="2">
        <v>-7</v>
      </c>
      <c r="AY98" s="2">
        <v>-3</v>
      </c>
      <c r="BA98" s="2">
        <v>10</v>
      </c>
      <c r="BC98" s="2">
        <v>-5</v>
      </c>
      <c r="BD98" s="2">
        <v>-2</v>
      </c>
      <c r="BE98" s="2">
        <v>-2</v>
      </c>
      <c r="BH98" s="2">
        <v>-5</v>
      </c>
      <c r="BI98" s="2">
        <v>20</v>
      </c>
      <c r="BJ98" s="2">
        <v>-9</v>
      </c>
      <c r="BK98" s="2">
        <v>-5</v>
      </c>
      <c r="BM98" s="2">
        <v>-3</v>
      </c>
      <c r="BP98" s="2">
        <v>-8</v>
      </c>
      <c r="BQ98" s="2">
        <v>25</v>
      </c>
    </row>
    <row r="99" spans="1:70" s="2" customFormat="1" x14ac:dyDescent="0.35">
      <c r="B99" s="9">
        <f t="shared" si="6"/>
        <v>0</v>
      </c>
      <c r="C99" s="2" t="s">
        <v>35</v>
      </c>
      <c r="D99" s="2" t="s">
        <v>116</v>
      </c>
      <c r="E99" s="2">
        <v>2</v>
      </c>
      <c r="F99" s="2" t="s">
        <v>61</v>
      </c>
      <c r="H99" s="3">
        <f t="shared" si="7"/>
        <v>7.4999999999999991</v>
      </c>
      <c r="AJ99" s="2">
        <v>2</v>
      </c>
      <c r="AN99" s="2">
        <v>7.2</v>
      </c>
      <c r="AO99" s="2">
        <v>-0.2</v>
      </c>
      <c r="AX99" s="2">
        <v>-0.8</v>
      </c>
      <c r="AY99" s="2">
        <v>-0.2</v>
      </c>
      <c r="BP99" s="2">
        <v>-2.5</v>
      </c>
    </row>
    <row r="100" spans="1:70" s="2" customFormat="1" x14ac:dyDescent="0.35">
      <c r="B100" s="9">
        <f t="shared" si="6"/>
        <v>0</v>
      </c>
      <c r="C100" s="2" t="s">
        <v>39</v>
      </c>
      <c r="D100" s="2" t="s">
        <v>45</v>
      </c>
      <c r="E100" s="2">
        <v>12</v>
      </c>
      <c r="F100" s="2" t="s">
        <v>3</v>
      </c>
      <c r="H100" s="3">
        <f t="shared" si="7"/>
        <v>0</v>
      </c>
      <c r="P100" s="2">
        <v>-1</v>
      </c>
      <c r="AA100" s="2">
        <v>-1</v>
      </c>
      <c r="BM100" s="2">
        <v>-10</v>
      </c>
    </row>
    <row r="101" spans="1:70" s="2" customFormat="1" x14ac:dyDescent="0.35">
      <c r="B101" s="9">
        <f t="shared" si="6"/>
        <v>0</v>
      </c>
      <c r="C101" s="2" t="s">
        <v>39</v>
      </c>
      <c r="D101" s="2" t="s">
        <v>44</v>
      </c>
      <c r="E101" s="2">
        <v>9</v>
      </c>
      <c r="F101" s="2" t="s">
        <v>3</v>
      </c>
      <c r="H101" s="3">
        <f t="shared" si="7"/>
        <v>10</v>
      </c>
      <c r="J101" s="2">
        <v>-1</v>
      </c>
      <c r="O101" s="2">
        <v>-1</v>
      </c>
      <c r="V101" s="2">
        <v>-5</v>
      </c>
      <c r="X101" s="2">
        <v>-1</v>
      </c>
      <c r="Y101" s="2">
        <v>12</v>
      </c>
      <c r="AB101" s="2">
        <v>-3</v>
      </c>
      <c r="AC101" s="2">
        <v>-2</v>
      </c>
      <c r="AJ101" s="2">
        <v>-1</v>
      </c>
      <c r="AN101" s="2">
        <v>-1</v>
      </c>
      <c r="AR101" s="2">
        <v>-4</v>
      </c>
      <c r="AT101" s="2">
        <v>12</v>
      </c>
      <c r="AX101" s="2">
        <v>-5</v>
      </c>
      <c r="AY101" s="2">
        <v>-4</v>
      </c>
      <c r="BB101" s="2">
        <v>12</v>
      </c>
      <c r="BD101" s="2">
        <v>-2</v>
      </c>
      <c r="BJ101" s="2">
        <v>-2</v>
      </c>
      <c r="BK101" s="2">
        <v>-3</v>
      </c>
      <c r="BM101" s="2">
        <v>-8</v>
      </c>
      <c r="BP101" s="2">
        <v>8</v>
      </c>
    </row>
    <row r="102" spans="1:70" s="2" customFormat="1" x14ac:dyDescent="0.35">
      <c r="A102" s="2">
        <v>2800</v>
      </c>
      <c r="B102" s="9">
        <f t="shared" si="6"/>
        <v>0</v>
      </c>
      <c r="C102" s="2" t="s">
        <v>120</v>
      </c>
      <c r="D102" s="2" t="s">
        <v>157</v>
      </c>
      <c r="F102" s="2" t="s">
        <v>3</v>
      </c>
      <c r="H102" s="3">
        <f t="shared" si="7"/>
        <v>0</v>
      </c>
      <c r="BJ102" s="2">
        <v>10</v>
      </c>
      <c r="BP102" s="2">
        <v>-10</v>
      </c>
    </row>
    <row r="103" spans="1:70" s="2" customFormat="1" x14ac:dyDescent="0.35">
      <c r="A103" s="2">
        <v>3050</v>
      </c>
      <c r="B103" s="9">
        <f t="shared" si="6"/>
        <v>0</v>
      </c>
      <c r="C103" s="2" t="s">
        <v>120</v>
      </c>
      <c r="D103" s="2" t="s">
        <v>158</v>
      </c>
      <c r="F103" s="2" t="s">
        <v>3</v>
      </c>
      <c r="H103" s="3">
        <f t="shared" si="7"/>
        <v>0</v>
      </c>
      <c r="BJ103" s="2">
        <v>10</v>
      </c>
      <c r="BP103" s="2">
        <v>-10</v>
      </c>
    </row>
    <row r="104" spans="1:70" s="2" customFormat="1" x14ac:dyDescent="0.35">
      <c r="A104" s="2">
        <v>4100</v>
      </c>
      <c r="B104" s="9">
        <f t="shared" si="6"/>
        <v>0</v>
      </c>
      <c r="C104" s="2" t="s">
        <v>120</v>
      </c>
      <c r="D104" s="2" t="s">
        <v>159</v>
      </c>
      <c r="F104" s="2" t="s">
        <v>3</v>
      </c>
      <c r="H104" s="3">
        <f t="shared" si="7"/>
        <v>0</v>
      </c>
      <c r="BJ104" s="2">
        <v>10</v>
      </c>
      <c r="BP104" s="2">
        <v>-10</v>
      </c>
    </row>
    <row r="105" spans="1:70" s="2" customFormat="1" x14ac:dyDescent="0.35">
      <c r="A105" s="2">
        <v>4200</v>
      </c>
      <c r="B105" s="9">
        <f t="shared" si="6"/>
        <v>0</v>
      </c>
      <c r="C105" s="2" t="s">
        <v>120</v>
      </c>
      <c r="D105" s="2" t="s">
        <v>160</v>
      </c>
      <c r="F105" s="2" t="s">
        <v>3</v>
      </c>
      <c r="H105" s="3">
        <f t="shared" si="7"/>
        <v>0</v>
      </c>
      <c r="BJ105" s="2">
        <v>10</v>
      </c>
      <c r="BP105" s="2">
        <v>-10</v>
      </c>
    </row>
    <row r="106" spans="1:70" s="2" customFormat="1" x14ac:dyDescent="0.35">
      <c r="B106" s="9">
        <f t="shared" si="6"/>
        <v>0</v>
      </c>
      <c r="C106" s="2" t="s">
        <v>6</v>
      </c>
      <c r="D106" s="2" t="s">
        <v>81</v>
      </c>
      <c r="E106" s="2">
        <v>4</v>
      </c>
      <c r="F106" s="2" t="s">
        <v>118</v>
      </c>
      <c r="H106" s="3">
        <f t="shared" si="7"/>
        <v>10</v>
      </c>
      <c r="N106" s="2">
        <v>-1</v>
      </c>
      <c r="R106" s="2">
        <v>-2</v>
      </c>
      <c r="S106" s="2">
        <v>-1</v>
      </c>
      <c r="X106" s="2">
        <v>4</v>
      </c>
      <c r="Y106" s="2">
        <v>-1</v>
      </c>
      <c r="AA106" s="2">
        <v>-2</v>
      </c>
      <c r="AC106" s="2">
        <v>4</v>
      </c>
      <c r="AG106" s="2">
        <v>-1</v>
      </c>
      <c r="AI106" s="2">
        <v>-1</v>
      </c>
      <c r="AN106" s="2">
        <v>-1</v>
      </c>
      <c r="AP106" s="2">
        <v>16</v>
      </c>
      <c r="AR106" s="2">
        <v>-1</v>
      </c>
      <c r="AX106" s="2">
        <v>-1</v>
      </c>
      <c r="AY106" s="2">
        <v>-1</v>
      </c>
      <c r="BF106" s="2">
        <v>-1</v>
      </c>
      <c r="BH106" s="2">
        <v>-2</v>
      </c>
      <c r="BL106" s="2">
        <v>-1</v>
      </c>
      <c r="BM106" s="2">
        <v>-1</v>
      </c>
    </row>
    <row r="107" spans="1:70" s="2" customFormat="1" x14ac:dyDescent="0.35">
      <c r="B107" s="9">
        <f t="shared" si="6"/>
        <v>0</v>
      </c>
      <c r="C107" s="2" t="s">
        <v>39</v>
      </c>
      <c r="D107" s="2" t="s">
        <v>66</v>
      </c>
      <c r="E107" s="2">
        <v>0</v>
      </c>
      <c r="F107" s="2" t="s">
        <v>67</v>
      </c>
      <c r="H107" s="3">
        <f t="shared" si="7"/>
        <v>7</v>
      </c>
      <c r="L107" s="2">
        <v>3</v>
      </c>
      <c r="M107" s="2">
        <v>-1</v>
      </c>
      <c r="S107" s="2">
        <v>-1</v>
      </c>
      <c r="U107" s="2">
        <v>-1</v>
      </c>
      <c r="V107" s="2">
        <v>10</v>
      </c>
      <c r="W107" s="2">
        <v>-2</v>
      </c>
      <c r="AH107" s="2">
        <v>-2</v>
      </c>
      <c r="AP107" s="2">
        <v>-1</v>
      </c>
      <c r="AQ107" s="2">
        <v>-2</v>
      </c>
      <c r="AR107" s="2">
        <v>-2</v>
      </c>
      <c r="AS107" s="2">
        <v>6</v>
      </c>
      <c r="AX107" s="2">
        <v>-1</v>
      </c>
      <c r="BD107" s="2">
        <v>-1</v>
      </c>
      <c r="BF107" s="2">
        <v>8</v>
      </c>
      <c r="BK107" s="2">
        <v>-1</v>
      </c>
      <c r="BL107" s="2">
        <v>-12</v>
      </c>
      <c r="BO107" s="2">
        <v>8</v>
      </c>
      <c r="BP107" s="2">
        <v>-1</v>
      </c>
    </row>
    <row r="108" spans="1:70" s="2" customFormat="1" x14ac:dyDescent="0.35">
      <c r="B108" s="9">
        <f t="shared" si="6"/>
        <v>0</v>
      </c>
      <c r="C108" s="2" t="s">
        <v>39</v>
      </c>
      <c r="D108" s="2" t="s">
        <v>41</v>
      </c>
      <c r="E108" s="2">
        <v>12</v>
      </c>
      <c r="F108" s="2" t="s">
        <v>3</v>
      </c>
      <c r="H108" s="3">
        <f t="shared" si="7"/>
        <v>12</v>
      </c>
    </row>
    <row r="109" spans="1:70" s="2" customFormat="1" x14ac:dyDescent="0.35">
      <c r="B109" s="9">
        <f t="shared" si="6"/>
        <v>0</v>
      </c>
      <c r="C109" s="2" t="s">
        <v>35</v>
      </c>
      <c r="D109" s="2" t="s">
        <v>115</v>
      </c>
      <c r="E109" s="2">
        <v>3</v>
      </c>
      <c r="F109" s="2" t="s">
        <v>61</v>
      </c>
      <c r="H109" s="3">
        <f t="shared" si="7"/>
        <v>7.5</v>
      </c>
      <c r="K109" s="2">
        <v>-1</v>
      </c>
      <c r="R109" s="2">
        <v>-2</v>
      </c>
      <c r="AJ109" s="2">
        <v>4</v>
      </c>
      <c r="AN109" s="2">
        <v>6.5</v>
      </c>
      <c r="AO109" s="2">
        <v>-2.6</v>
      </c>
      <c r="AT109" s="2">
        <v>-1.9</v>
      </c>
      <c r="AX109" s="2">
        <v>-0.9</v>
      </c>
      <c r="AY109" s="2">
        <v>-2.6</v>
      </c>
      <c r="BB109" s="2">
        <v>15</v>
      </c>
      <c r="BH109" s="2">
        <v>-0.5</v>
      </c>
      <c r="BK109" s="2">
        <v>-4.5</v>
      </c>
      <c r="BP109" s="2">
        <v>-0.5</v>
      </c>
      <c r="BQ109" s="2">
        <v>-4.5</v>
      </c>
    </row>
    <row r="110" spans="1:70" s="2" customFormat="1" x14ac:dyDescent="0.35">
      <c r="A110" s="2">
        <v>1400</v>
      </c>
      <c r="B110" s="9">
        <f t="shared" si="6"/>
        <v>28000</v>
      </c>
      <c r="C110" s="2" t="s">
        <v>55</v>
      </c>
      <c r="D110" s="2" t="s">
        <v>49</v>
      </c>
      <c r="E110" s="2">
        <v>19</v>
      </c>
      <c r="F110" s="2" t="s">
        <v>3</v>
      </c>
      <c r="H110" s="3">
        <f t="shared" si="7"/>
        <v>20</v>
      </c>
      <c r="I110" s="2">
        <v>-1</v>
      </c>
      <c r="J110" s="2">
        <v>-2</v>
      </c>
      <c r="K110" s="2">
        <v>-3</v>
      </c>
      <c r="N110" s="2">
        <v>12</v>
      </c>
      <c r="R110" s="2">
        <v>-2</v>
      </c>
      <c r="T110" s="2">
        <v>-2</v>
      </c>
      <c r="U110" s="2">
        <v>-2</v>
      </c>
      <c r="V110" s="2">
        <v>-2</v>
      </c>
      <c r="Z110" s="2">
        <v>-1</v>
      </c>
      <c r="AA110" s="2">
        <v>-3</v>
      </c>
      <c r="AC110" s="2">
        <v>-2</v>
      </c>
      <c r="AD110" s="2">
        <v>-1</v>
      </c>
      <c r="AE110" s="2">
        <v>12</v>
      </c>
      <c r="AH110" s="2">
        <v>-2</v>
      </c>
      <c r="AL110" s="2">
        <v>-1</v>
      </c>
      <c r="AO110" s="2">
        <v>-3</v>
      </c>
      <c r="AR110" s="2">
        <v>-4</v>
      </c>
      <c r="AT110" s="2">
        <v>-2</v>
      </c>
      <c r="AV110" s="2">
        <v>12</v>
      </c>
      <c r="AX110" s="2">
        <v>-3</v>
      </c>
      <c r="AY110" s="2">
        <v>-7</v>
      </c>
      <c r="BC110" s="2">
        <v>-1</v>
      </c>
      <c r="BE110" s="2">
        <v>-1</v>
      </c>
      <c r="BG110" s="2">
        <v>-3</v>
      </c>
      <c r="BH110" s="2">
        <v>-1</v>
      </c>
      <c r="BI110" s="2">
        <v>-2</v>
      </c>
      <c r="BJ110" s="2">
        <v>12</v>
      </c>
      <c r="BK110" s="2">
        <v>-2</v>
      </c>
      <c r="BL110" s="2">
        <v>-1</v>
      </c>
      <c r="BO110" s="2">
        <v>-1</v>
      </c>
      <c r="BP110" s="2">
        <v>1</v>
      </c>
      <c r="BQ110" s="2">
        <v>-5</v>
      </c>
      <c r="BR110" s="2">
        <v>12</v>
      </c>
    </row>
    <row r="111" spans="1:70" s="2" customFormat="1" x14ac:dyDescent="0.35">
      <c r="A111" s="2">
        <v>495</v>
      </c>
      <c r="B111" s="9">
        <f t="shared" si="6"/>
        <v>6435</v>
      </c>
      <c r="C111" s="2" t="s">
        <v>6</v>
      </c>
      <c r="D111" s="2" t="s">
        <v>16</v>
      </c>
      <c r="E111" s="2">
        <v>11</v>
      </c>
      <c r="F111" s="2" t="s">
        <v>3</v>
      </c>
      <c r="H111" s="3">
        <f t="shared" si="7"/>
        <v>13</v>
      </c>
      <c r="J111" s="2">
        <v>-1</v>
      </c>
      <c r="K111" s="2">
        <v>-1</v>
      </c>
      <c r="L111" s="2">
        <v>-1</v>
      </c>
      <c r="M111" s="2">
        <v>10</v>
      </c>
      <c r="P111" s="2">
        <v>-1</v>
      </c>
      <c r="S111" s="2">
        <v>-1</v>
      </c>
      <c r="W111" s="2">
        <v>-1</v>
      </c>
      <c r="AA111" s="2">
        <v>-1</v>
      </c>
      <c r="AF111" s="2">
        <v>-1</v>
      </c>
      <c r="AG111" s="2">
        <v>-1</v>
      </c>
      <c r="AH111" s="2">
        <v>-1</v>
      </c>
      <c r="AI111" s="2">
        <v>-1</v>
      </c>
      <c r="AN111" s="2">
        <v>-1</v>
      </c>
      <c r="AR111" s="2">
        <v>-4</v>
      </c>
      <c r="AT111" s="2">
        <v>10</v>
      </c>
      <c r="AU111" s="2">
        <v>-1</v>
      </c>
      <c r="AX111" s="2">
        <v>-1</v>
      </c>
      <c r="AY111" s="2">
        <v>-2</v>
      </c>
      <c r="BC111" s="2">
        <v>-1</v>
      </c>
      <c r="BD111" s="2">
        <v>-1</v>
      </c>
      <c r="BE111" s="2">
        <v>-2</v>
      </c>
      <c r="BJ111" s="2">
        <v>10</v>
      </c>
      <c r="BK111" s="2">
        <v>-1</v>
      </c>
      <c r="BM111" s="2">
        <v>-2</v>
      </c>
      <c r="BP111" s="2">
        <v>-6</v>
      </c>
      <c r="BQ111" s="2">
        <v>6</v>
      </c>
      <c r="BR111" s="2">
        <v>-1</v>
      </c>
    </row>
    <row r="112" spans="1:70" s="2" customFormat="1" x14ac:dyDescent="0.35">
      <c r="B112" s="9">
        <f t="shared" si="6"/>
        <v>0</v>
      </c>
      <c r="C112" s="2" t="s">
        <v>136</v>
      </c>
      <c r="D112" s="2" t="s">
        <v>137</v>
      </c>
      <c r="F112" s="2" t="s">
        <v>61</v>
      </c>
      <c r="H112" s="3">
        <f t="shared" si="7"/>
        <v>0</v>
      </c>
      <c r="AN112" s="2">
        <v>14.1</v>
      </c>
      <c r="BP112" s="2">
        <v>-14.1</v>
      </c>
    </row>
    <row r="113" spans="1:72" s="2" customFormat="1" x14ac:dyDescent="0.35">
      <c r="A113" s="2">
        <v>3600</v>
      </c>
      <c r="B113" s="9">
        <f t="shared" si="6"/>
        <v>54000</v>
      </c>
      <c r="C113" s="2" t="s">
        <v>89</v>
      </c>
      <c r="D113" s="2" t="s">
        <v>111</v>
      </c>
      <c r="E113" s="2">
        <v>24</v>
      </c>
      <c r="F113" s="2" t="s">
        <v>61</v>
      </c>
      <c r="H113" s="3">
        <f t="shared" si="7"/>
        <v>15</v>
      </c>
      <c r="P113" s="2">
        <v>-4</v>
      </c>
      <c r="T113" s="2">
        <v>-6</v>
      </c>
      <c r="V113" s="2">
        <v>-4</v>
      </c>
      <c r="W113" s="2">
        <v>-2</v>
      </c>
      <c r="X113" s="2">
        <v>10</v>
      </c>
      <c r="Z113" s="2">
        <v>-4</v>
      </c>
      <c r="AA113" s="2">
        <v>-2</v>
      </c>
      <c r="AG113" s="2">
        <v>-4</v>
      </c>
      <c r="AH113" s="2">
        <v>10</v>
      </c>
      <c r="AI113" s="2">
        <v>-4</v>
      </c>
      <c r="AN113" s="2">
        <v>-4</v>
      </c>
      <c r="AR113" s="2">
        <v>-6</v>
      </c>
      <c r="AT113" s="2">
        <v>10</v>
      </c>
      <c r="AX113" s="2">
        <v>-4</v>
      </c>
      <c r="AY113" s="2">
        <v>-4</v>
      </c>
      <c r="AZ113" s="2">
        <v>10</v>
      </c>
      <c r="BA113" s="2">
        <v>2</v>
      </c>
      <c r="BF113" s="2">
        <v>-4</v>
      </c>
      <c r="BH113" s="2">
        <v>-4</v>
      </c>
      <c r="BJ113" s="2">
        <v>10</v>
      </c>
      <c r="BM113" s="2">
        <v>-4</v>
      </c>
      <c r="BP113" s="2">
        <v>3</v>
      </c>
      <c r="BQ113" s="2">
        <v>-4</v>
      </c>
    </row>
    <row r="114" spans="1:72" s="2" customFormat="1" x14ac:dyDescent="0.35">
      <c r="A114" s="2">
        <v>325</v>
      </c>
      <c r="B114" s="9">
        <f t="shared" si="6"/>
        <v>6500</v>
      </c>
      <c r="C114" s="2" t="s">
        <v>35</v>
      </c>
      <c r="D114" s="2" t="s">
        <v>86</v>
      </c>
      <c r="F114" s="2" t="s">
        <v>3</v>
      </c>
      <c r="H114" s="3">
        <f t="shared" si="7"/>
        <v>20</v>
      </c>
      <c r="P114" s="2">
        <v>20</v>
      </c>
      <c r="AO114" s="2">
        <v>20</v>
      </c>
      <c r="AP114" s="2">
        <v>-20</v>
      </c>
      <c r="BR114" s="2">
        <v>20</v>
      </c>
      <c r="BT114" s="2">
        <v>-20</v>
      </c>
    </row>
    <row r="115" spans="1:72" s="2" customFormat="1" x14ac:dyDescent="0.35">
      <c r="A115" s="2">
        <v>325</v>
      </c>
      <c r="B115" s="9">
        <f t="shared" si="6"/>
        <v>13000</v>
      </c>
      <c r="C115" s="2" t="s">
        <v>35</v>
      </c>
      <c r="D115" s="2" t="s">
        <v>88</v>
      </c>
      <c r="F115" s="2" t="s">
        <v>3</v>
      </c>
      <c r="H115" s="3">
        <f t="shared" si="7"/>
        <v>40</v>
      </c>
      <c r="P115" s="2">
        <v>20</v>
      </c>
      <c r="Q115" s="2">
        <v>-10</v>
      </c>
      <c r="AH115" s="2">
        <v>-10</v>
      </c>
      <c r="AO115" s="2">
        <v>40</v>
      </c>
      <c r="AY115" s="2">
        <v>-20</v>
      </c>
      <c r="BQ115" s="2">
        <v>-20</v>
      </c>
      <c r="BR115" s="2">
        <v>40</v>
      </c>
    </row>
    <row r="116" spans="1:72" s="2" customFormat="1" x14ac:dyDescent="0.35">
      <c r="A116" s="2">
        <v>1750</v>
      </c>
      <c r="B116" s="9">
        <f t="shared" si="6"/>
        <v>78750</v>
      </c>
      <c r="C116" s="2" t="s">
        <v>55</v>
      </c>
      <c r="D116" s="2" t="s">
        <v>50</v>
      </c>
      <c r="E116" s="2">
        <v>24</v>
      </c>
      <c r="F116" s="2" t="s">
        <v>3</v>
      </c>
      <c r="H116" s="3">
        <f t="shared" si="7"/>
        <v>45</v>
      </c>
      <c r="I116" s="2">
        <v>-3</v>
      </c>
      <c r="J116" s="2">
        <v>-10</v>
      </c>
      <c r="K116" s="2">
        <v>-3</v>
      </c>
      <c r="L116" s="2">
        <v>-2</v>
      </c>
      <c r="M116" s="2">
        <v>-4</v>
      </c>
      <c r="N116" s="2">
        <v>40</v>
      </c>
      <c r="O116" s="2">
        <v>-6</v>
      </c>
      <c r="Q116" s="2">
        <v>-3</v>
      </c>
      <c r="R116" s="2">
        <v>-13</v>
      </c>
      <c r="S116" s="2">
        <v>-3</v>
      </c>
      <c r="T116" s="2">
        <v>-4</v>
      </c>
      <c r="U116" s="2">
        <v>-5</v>
      </c>
      <c r="V116" s="2">
        <v>-8</v>
      </c>
      <c r="X116" s="2">
        <v>40</v>
      </c>
      <c r="Y116" s="2">
        <v>-5</v>
      </c>
      <c r="Z116" s="2">
        <v>-10</v>
      </c>
      <c r="AA116" s="2">
        <v>-4</v>
      </c>
      <c r="AB116" s="2">
        <v>-1</v>
      </c>
      <c r="AC116" s="2">
        <v>-4</v>
      </c>
      <c r="AD116" s="2">
        <v>-9</v>
      </c>
      <c r="AE116" s="2">
        <v>40</v>
      </c>
      <c r="AF116" s="2">
        <v>-2</v>
      </c>
      <c r="AG116" s="2">
        <v>-5</v>
      </c>
      <c r="AH116" s="2">
        <v>-7</v>
      </c>
      <c r="AJ116" s="2">
        <v>-9</v>
      </c>
      <c r="AN116" s="2">
        <v>-9</v>
      </c>
      <c r="AP116" s="2">
        <v>-5</v>
      </c>
      <c r="AQ116" s="2">
        <v>40</v>
      </c>
      <c r="AR116" s="2">
        <v>-6</v>
      </c>
      <c r="AS116" s="2">
        <v>-8</v>
      </c>
      <c r="AV116" s="2">
        <v>-10</v>
      </c>
      <c r="AX116" s="2">
        <v>-2</v>
      </c>
      <c r="AY116" s="2">
        <v>-9</v>
      </c>
      <c r="BC116" s="2">
        <v>-3</v>
      </c>
      <c r="BD116" s="2">
        <v>-3</v>
      </c>
      <c r="BE116" s="2">
        <v>-2</v>
      </c>
      <c r="BH116" s="2">
        <v>-5</v>
      </c>
      <c r="BI116" s="2">
        <v>40</v>
      </c>
      <c r="BJ116" s="2">
        <v>-10</v>
      </c>
      <c r="BK116" s="2">
        <v>-3</v>
      </c>
      <c r="BL116" s="2">
        <v>-1</v>
      </c>
      <c r="BM116" s="2">
        <v>-7</v>
      </c>
      <c r="BN116" s="2">
        <v>-16</v>
      </c>
      <c r="BO116" s="2">
        <v>-5</v>
      </c>
      <c r="BP116" s="2">
        <v>40</v>
      </c>
      <c r="BQ116" s="2">
        <v>-16</v>
      </c>
      <c r="BR116" s="2">
        <v>25</v>
      </c>
      <c r="BS116" s="2">
        <v>-4</v>
      </c>
    </row>
    <row r="117" spans="1:72" s="2" customFormat="1" x14ac:dyDescent="0.35">
      <c r="A117" s="2">
        <v>4750</v>
      </c>
      <c r="B117" s="9">
        <f t="shared" si="6"/>
        <v>133000</v>
      </c>
      <c r="C117" s="2" t="s">
        <v>55</v>
      </c>
      <c r="D117" s="2" t="s">
        <v>43</v>
      </c>
      <c r="E117" s="2">
        <v>22</v>
      </c>
      <c r="F117" s="2" t="s">
        <v>3</v>
      </c>
      <c r="H117" s="3">
        <f t="shared" si="7"/>
        <v>28</v>
      </c>
      <c r="K117" s="2">
        <v>-4</v>
      </c>
      <c r="L117" s="2">
        <v>-3</v>
      </c>
      <c r="M117" s="2">
        <v>-7</v>
      </c>
      <c r="N117" s="2">
        <v>12</v>
      </c>
      <c r="O117" s="2">
        <v>-2</v>
      </c>
      <c r="P117" s="2">
        <v>-7</v>
      </c>
      <c r="R117" s="2">
        <v>12</v>
      </c>
      <c r="T117" s="2">
        <v>-7</v>
      </c>
      <c r="X117" s="2">
        <v>12</v>
      </c>
      <c r="AA117" s="2">
        <v>-12</v>
      </c>
      <c r="AB117" s="2">
        <v>-4</v>
      </c>
      <c r="AC117" s="2">
        <v>-7</v>
      </c>
      <c r="AD117" s="2">
        <v>12</v>
      </c>
      <c r="AE117" s="2">
        <v>12</v>
      </c>
      <c r="AH117" s="2">
        <v>-1</v>
      </c>
      <c r="AI117" s="2">
        <v>-5</v>
      </c>
      <c r="AL117" s="2">
        <v>-5</v>
      </c>
      <c r="AO117" s="2">
        <v>-5</v>
      </c>
      <c r="AP117" s="2">
        <v>-2</v>
      </c>
      <c r="AQ117" s="2">
        <v>12</v>
      </c>
      <c r="AR117" s="2">
        <v>-5</v>
      </c>
      <c r="AU117" s="2">
        <v>-3</v>
      </c>
      <c r="AV117" s="2">
        <v>12</v>
      </c>
      <c r="AX117" s="2">
        <v>-5</v>
      </c>
      <c r="AY117" s="2">
        <v>-5</v>
      </c>
      <c r="AZ117" s="2">
        <v>-1</v>
      </c>
      <c r="BA117" s="2">
        <v>-1</v>
      </c>
      <c r="BB117" s="2">
        <v>12</v>
      </c>
      <c r="BC117" s="2">
        <v>-1</v>
      </c>
      <c r="BD117" s="2">
        <v>-1</v>
      </c>
      <c r="BE117" s="2">
        <v>-2</v>
      </c>
      <c r="BF117" s="2">
        <v>-2</v>
      </c>
      <c r="BG117" s="2">
        <v>-9</v>
      </c>
      <c r="BH117" s="2">
        <v>-2</v>
      </c>
      <c r="BI117" s="2">
        <v>-6</v>
      </c>
      <c r="BJ117" s="2">
        <v>12</v>
      </c>
      <c r="BK117" s="2">
        <v>-5</v>
      </c>
      <c r="BL117" s="2">
        <v>12</v>
      </c>
      <c r="BM117" s="2">
        <v>-1</v>
      </c>
      <c r="BP117" s="2">
        <v>-8</v>
      </c>
      <c r="BQ117" s="2">
        <v>14</v>
      </c>
    </row>
    <row r="118" spans="1:72" s="2" customFormat="1" x14ac:dyDescent="0.35">
      <c r="A118" s="2">
        <v>2940</v>
      </c>
      <c r="B118" s="9">
        <f t="shared" si="6"/>
        <v>85260</v>
      </c>
      <c r="C118" s="2" t="s">
        <v>120</v>
      </c>
      <c r="D118" s="2" t="s">
        <v>128</v>
      </c>
      <c r="E118" s="2">
        <v>45</v>
      </c>
      <c r="F118" s="2" t="s">
        <v>61</v>
      </c>
      <c r="H118" s="3">
        <f t="shared" si="7"/>
        <v>29</v>
      </c>
      <c r="J118" s="2">
        <v>-11</v>
      </c>
      <c r="K118" s="2">
        <v>-12</v>
      </c>
      <c r="M118" s="2">
        <v>-3</v>
      </c>
      <c r="N118" s="2">
        <v>30</v>
      </c>
      <c r="P118" s="2">
        <v>-12</v>
      </c>
      <c r="AC118" s="2">
        <v>-8</v>
      </c>
      <c r="AG118" s="2">
        <v>-10</v>
      </c>
      <c r="AH118" s="2">
        <v>30</v>
      </c>
      <c r="AI118" s="2">
        <v>-22</v>
      </c>
      <c r="AN118" s="2">
        <v>-5</v>
      </c>
      <c r="AQ118" s="2">
        <v>20</v>
      </c>
      <c r="AR118" s="2">
        <v>-22</v>
      </c>
      <c r="AS118" s="2">
        <v>-7</v>
      </c>
      <c r="AU118" s="2">
        <v>-1</v>
      </c>
      <c r="AV118" s="2">
        <v>30</v>
      </c>
      <c r="AX118" s="2">
        <v>-24</v>
      </c>
      <c r="AY118" s="2">
        <v>10</v>
      </c>
      <c r="AZ118" s="2">
        <v>-10</v>
      </c>
      <c r="BB118" s="2">
        <v>20</v>
      </c>
      <c r="BF118" s="2">
        <v>-6</v>
      </c>
      <c r="BG118" s="2">
        <v>-11</v>
      </c>
      <c r="BI118" s="2">
        <v>-1</v>
      </c>
      <c r="BJ118" s="2">
        <v>20</v>
      </c>
      <c r="BK118" s="2">
        <v>-10</v>
      </c>
      <c r="BL118" s="2">
        <v>-8</v>
      </c>
      <c r="BM118" s="2">
        <v>5</v>
      </c>
      <c r="BP118" s="2">
        <v>2</v>
      </c>
    </row>
    <row r="119" spans="1:72" s="2" customFormat="1" x14ac:dyDescent="0.35">
      <c r="A119" s="2">
        <v>1530</v>
      </c>
      <c r="B119" s="9">
        <f t="shared" si="6"/>
        <v>33660</v>
      </c>
      <c r="C119" s="2" t="s">
        <v>55</v>
      </c>
      <c r="D119" s="2" t="s">
        <v>13</v>
      </c>
      <c r="E119" s="2">
        <v>25</v>
      </c>
      <c r="F119" s="2" t="s">
        <v>3</v>
      </c>
      <c r="H119" s="3">
        <f t="shared" si="7"/>
        <v>22</v>
      </c>
      <c r="I119" s="2">
        <v>-4</v>
      </c>
      <c r="N119" s="2">
        <v>-10</v>
      </c>
      <c r="P119" s="2">
        <v>-6</v>
      </c>
      <c r="R119" s="2">
        <v>15</v>
      </c>
      <c r="AA119" s="2">
        <v>-9</v>
      </c>
      <c r="AC119" s="2">
        <v>15</v>
      </c>
      <c r="AG119" s="2">
        <v>-2</v>
      </c>
      <c r="AL119" s="2">
        <v>-14</v>
      </c>
      <c r="AP119" s="2">
        <v>15</v>
      </c>
      <c r="AT119" s="2">
        <v>-9</v>
      </c>
      <c r="AV119" s="2">
        <v>10</v>
      </c>
      <c r="BA119" s="2">
        <v>-10</v>
      </c>
      <c r="BB119" s="2">
        <v>15</v>
      </c>
      <c r="BH119" s="2">
        <v>-16</v>
      </c>
      <c r="BJ119" s="2">
        <v>15</v>
      </c>
      <c r="BP119" s="2">
        <v>-15</v>
      </c>
      <c r="BQ119" s="2">
        <v>7</v>
      </c>
    </row>
    <row r="120" spans="1:72" s="2" customFormat="1" x14ac:dyDescent="0.35">
      <c r="A120" s="2">
        <v>1760</v>
      </c>
      <c r="B120" s="9">
        <f t="shared" si="6"/>
        <v>40480</v>
      </c>
      <c r="C120" s="2" t="s">
        <v>55</v>
      </c>
      <c r="D120" s="2" t="s">
        <v>14</v>
      </c>
      <c r="E120" s="2">
        <v>32</v>
      </c>
      <c r="F120" s="2" t="s">
        <v>3</v>
      </c>
      <c r="H120" s="3">
        <f t="shared" si="7"/>
        <v>23</v>
      </c>
      <c r="I120" s="2">
        <v>-4</v>
      </c>
      <c r="N120" s="2">
        <v>-10</v>
      </c>
      <c r="AB120" s="2">
        <v>-12</v>
      </c>
      <c r="AC120" s="2">
        <v>15</v>
      </c>
      <c r="AL120" s="2">
        <v>-12</v>
      </c>
      <c r="AP120" s="2">
        <v>15</v>
      </c>
      <c r="AR120" s="2">
        <v>-1</v>
      </c>
      <c r="AX120" s="2">
        <v>-4</v>
      </c>
      <c r="BA120" s="2">
        <v>-7</v>
      </c>
      <c r="BB120" s="2">
        <v>15</v>
      </c>
      <c r="BH120" s="2">
        <v>-10</v>
      </c>
      <c r="BJ120" s="2">
        <v>15</v>
      </c>
      <c r="BL120" s="2">
        <v>-1</v>
      </c>
      <c r="BP120" s="2">
        <v>-12</v>
      </c>
      <c r="BQ120" s="2">
        <v>-1</v>
      </c>
      <c r="BR120" s="2">
        <v>5</v>
      </c>
    </row>
    <row r="121" spans="1:72" s="2" customFormat="1" x14ac:dyDescent="0.35">
      <c r="A121" s="2">
        <v>325</v>
      </c>
      <c r="B121" s="9">
        <f t="shared" si="6"/>
        <v>13000</v>
      </c>
      <c r="C121" s="2" t="s">
        <v>35</v>
      </c>
      <c r="D121" s="2" t="s">
        <v>85</v>
      </c>
      <c r="F121" s="2" t="s">
        <v>3</v>
      </c>
      <c r="H121" s="3">
        <f t="shared" si="7"/>
        <v>40</v>
      </c>
      <c r="P121" s="2">
        <v>20</v>
      </c>
      <c r="U121" s="2">
        <v>-20</v>
      </c>
      <c r="AO121" s="2">
        <v>40</v>
      </c>
      <c r="BQ121" s="2">
        <v>-20</v>
      </c>
      <c r="BR121" s="2">
        <v>20</v>
      </c>
    </row>
    <row r="122" spans="1:72" s="2" customFormat="1" x14ac:dyDescent="0.35">
      <c r="A122" s="2">
        <v>325</v>
      </c>
      <c r="B122" s="9">
        <f t="shared" si="6"/>
        <v>6500</v>
      </c>
      <c r="C122" s="2" t="s">
        <v>35</v>
      </c>
      <c r="D122" s="2" t="s">
        <v>87</v>
      </c>
      <c r="F122" s="2" t="s">
        <v>3</v>
      </c>
      <c r="H122" s="3">
        <f t="shared" si="7"/>
        <v>20</v>
      </c>
      <c r="P122" s="2">
        <v>20</v>
      </c>
      <c r="AH122" s="2">
        <v>-20</v>
      </c>
      <c r="AO122" s="2">
        <v>40</v>
      </c>
      <c r="BQ122" s="2">
        <v>-20</v>
      </c>
      <c r="BR122" s="2">
        <v>20</v>
      </c>
      <c r="BT122" s="2">
        <v>-20</v>
      </c>
    </row>
    <row r="123" spans="1:72" s="2" customFormat="1" x14ac:dyDescent="0.35">
      <c r="A123" s="2">
        <v>325</v>
      </c>
      <c r="B123" s="9">
        <f t="shared" si="6"/>
        <v>6500</v>
      </c>
      <c r="C123" s="2" t="s">
        <v>35</v>
      </c>
      <c r="D123" s="2" t="s">
        <v>74</v>
      </c>
      <c r="F123" s="2" t="s">
        <v>3</v>
      </c>
      <c r="H123" s="3">
        <f t="shared" si="7"/>
        <v>20</v>
      </c>
      <c r="P123" s="2">
        <v>40</v>
      </c>
      <c r="AH123" s="2">
        <v>-20</v>
      </c>
      <c r="AO123" s="2">
        <v>20</v>
      </c>
      <c r="BQ123" s="2">
        <v>-20</v>
      </c>
      <c r="BR123" s="2">
        <v>20</v>
      </c>
      <c r="BT123" s="2">
        <v>-20</v>
      </c>
    </row>
    <row r="124" spans="1:72" s="2" customFormat="1" x14ac:dyDescent="0.35">
      <c r="B124" s="9">
        <f t="shared" si="6"/>
        <v>0</v>
      </c>
      <c r="C124" s="2" t="s">
        <v>35</v>
      </c>
      <c r="D124" s="2" t="s">
        <v>38</v>
      </c>
      <c r="E124" s="2">
        <v>200</v>
      </c>
      <c r="F124" s="2" t="s">
        <v>3</v>
      </c>
      <c r="H124" s="3">
        <f t="shared" si="7"/>
        <v>200</v>
      </c>
    </row>
    <row r="125" spans="1:72" s="2" customFormat="1" x14ac:dyDescent="0.35">
      <c r="A125" s="2">
        <v>189</v>
      </c>
      <c r="B125" s="9">
        <f t="shared" si="6"/>
        <v>45738</v>
      </c>
      <c r="C125" s="2" t="s">
        <v>98</v>
      </c>
      <c r="D125" s="2" t="s">
        <v>59</v>
      </c>
      <c r="E125" s="2">
        <v>410</v>
      </c>
      <c r="F125" s="2" t="s">
        <v>3</v>
      </c>
      <c r="H125" s="3">
        <f t="shared" si="7"/>
        <v>242</v>
      </c>
      <c r="J125" s="2">
        <v>-50</v>
      </c>
      <c r="K125" s="2">
        <v>-69</v>
      </c>
      <c r="M125" s="2">
        <v>-61</v>
      </c>
      <c r="N125" s="2">
        <v>180</v>
      </c>
      <c r="O125" s="2">
        <v>-50</v>
      </c>
      <c r="P125" s="2">
        <v>-48</v>
      </c>
      <c r="Q125" s="2">
        <v>-25</v>
      </c>
      <c r="R125" s="2">
        <v>-40</v>
      </c>
      <c r="U125" s="2">
        <v>-10</v>
      </c>
      <c r="V125" s="2">
        <v>53</v>
      </c>
      <c r="W125" s="2">
        <v>-30</v>
      </c>
      <c r="X125" s="2">
        <v>-30</v>
      </c>
      <c r="Z125" s="2">
        <v>180</v>
      </c>
      <c r="AA125" s="2">
        <v>-32</v>
      </c>
      <c r="AB125" s="2">
        <v>-152</v>
      </c>
      <c r="AC125" s="2">
        <v>-60</v>
      </c>
      <c r="AD125" s="2">
        <v>-24</v>
      </c>
      <c r="AG125" s="2">
        <v>-35</v>
      </c>
      <c r="AH125" s="2">
        <v>-29</v>
      </c>
      <c r="AI125" s="2">
        <v>180</v>
      </c>
      <c r="AJ125" s="2">
        <v>-68</v>
      </c>
      <c r="AK125" s="2">
        <v>-32</v>
      </c>
      <c r="AL125" s="2">
        <v>180</v>
      </c>
      <c r="AM125" s="2">
        <v>-42</v>
      </c>
      <c r="AN125" s="2">
        <v>-20</v>
      </c>
      <c r="AO125" s="2">
        <v>-60</v>
      </c>
      <c r="AP125" s="2">
        <v>-43</v>
      </c>
      <c r="AQ125" s="2">
        <v>-58</v>
      </c>
      <c r="AR125" s="2">
        <v>180</v>
      </c>
      <c r="AT125" s="2">
        <v>-70</v>
      </c>
      <c r="AU125" s="2">
        <v>-45</v>
      </c>
      <c r="AV125" s="2">
        <v>-10</v>
      </c>
      <c r="AW125" s="2">
        <v>-170</v>
      </c>
      <c r="AX125" s="2">
        <v>180</v>
      </c>
      <c r="AY125" s="2">
        <v>-70</v>
      </c>
      <c r="BA125" s="2">
        <v>-30</v>
      </c>
      <c r="BB125" s="2">
        <v>180</v>
      </c>
      <c r="BC125" s="2">
        <v>-80</v>
      </c>
      <c r="BD125" s="2">
        <v>-30</v>
      </c>
      <c r="BE125" s="2">
        <v>-100</v>
      </c>
      <c r="BF125" s="2">
        <v>-48</v>
      </c>
      <c r="BG125" s="2">
        <v>180</v>
      </c>
      <c r="BH125" s="2">
        <v>-40</v>
      </c>
      <c r="BI125" s="2">
        <v>-114</v>
      </c>
      <c r="BJ125" s="2">
        <v>360</v>
      </c>
      <c r="BK125" s="2">
        <v>-48</v>
      </c>
      <c r="BL125" s="2">
        <v>-83</v>
      </c>
      <c r="BM125" s="2">
        <v>-77</v>
      </c>
      <c r="BN125" s="2">
        <v>86</v>
      </c>
      <c r="BP125" s="2">
        <v>33</v>
      </c>
      <c r="BQ125" s="2">
        <v>-7</v>
      </c>
      <c r="BR125" s="2">
        <v>-50</v>
      </c>
    </row>
    <row r="126" spans="1:72" s="2" customFormat="1" x14ac:dyDescent="0.35">
      <c r="A126" s="2">
        <v>10</v>
      </c>
      <c r="B126" s="9">
        <f t="shared" si="6"/>
        <v>15000</v>
      </c>
      <c r="C126" s="2" t="s">
        <v>35</v>
      </c>
      <c r="D126" s="2" t="s">
        <v>71</v>
      </c>
      <c r="F126" s="2" t="s">
        <v>3</v>
      </c>
      <c r="H126" s="3">
        <f t="shared" si="7"/>
        <v>1500</v>
      </c>
      <c r="N126" s="2">
        <v>2000</v>
      </c>
      <c r="O126" s="2">
        <v>-500</v>
      </c>
      <c r="AL126" s="2">
        <v>-500</v>
      </c>
      <c r="AR126" s="2">
        <v>-500</v>
      </c>
      <c r="AZ126" s="2">
        <v>2000</v>
      </c>
      <c r="BN126" s="2">
        <v>-500</v>
      </c>
      <c r="BP126" s="2">
        <v>-500</v>
      </c>
    </row>
  </sheetData>
  <conditionalFormatting sqref="C1:D1">
    <cfRule type="duplicateValues" dxfId="2" priority="3"/>
  </conditionalFormatting>
  <conditionalFormatting sqref="H1:H1048576">
    <cfRule type="cellIs" dxfId="1" priority="1" operator="lessThan">
      <formula>2</formula>
    </cfRule>
    <cfRule type="cellIs" dxfId="0" priority="2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3D8D-0BFB-4FBF-9ACE-B00F55F9333C}">
  <dimension ref="B2:D17"/>
  <sheetViews>
    <sheetView workbookViewId="0">
      <selection activeCell="B2" sqref="B2:D17"/>
    </sheetView>
  </sheetViews>
  <sheetFormatPr baseColWidth="10" defaultRowHeight="14.5" x14ac:dyDescent="0.35"/>
  <cols>
    <col min="2" max="2" width="35.26953125" bestFit="1" customWidth="1"/>
    <col min="3" max="3" width="3.81640625" bestFit="1" customWidth="1"/>
  </cols>
  <sheetData>
    <row r="2" spans="2:4" x14ac:dyDescent="0.35">
      <c r="B2" t="s">
        <v>138</v>
      </c>
      <c r="C2">
        <v>1</v>
      </c>
      <c r="D2" t="s">
        <v>61</v>
      </c>
    </row>
    <row r="3" spans="2:4" x14ac:dyDescent="0.35">
      <c r="B3" t="s">
        <v>122</v>
      </c>
      <c r="C3">
        <v>4</v>
      </c>
      <c r="D3" t="s">
        <v>61</v>
      </c>
    </row>
    <row r="4" spans="2:4" x14ac:dyDescent="0.35">
      <c r="B4" t="s">
        <v>139</v>
      </c>
      <c r="C4">
        <v>4</v>
      </c>
      <c r="D4" t="s">
        <v>61</v>
      </c>
    </row>
    <row r="5" spans="2:4" x14ac:dyDescent="0.35">
      <c r="B5" t="s">
        <v>140</v>
      </c>
      <c r="C5">
        <v>2.8</v>
      </c>
      <c r="D5" t="s">
        <v>61</v>
      </c>
    </row>
    <row r="6" spans="2:4" x14ac:dyDescent="0.35">
      <c r="B6" t="s">
        <v>141</v>
      </c>
      <c r="C6">
        <v>4</v>
      </c>
      <c r="D6" t="s">
        <v>142</v>
      </c>
    </row>
    <row r="7" spans="2:4" x14ac:dyDescent="0.35">
      <c r="B7" t="s">
        <v>143</v>
      </c>
      <c r="C7">
        <v>3</v>
      </c>
      <c r="D7" t="s">
        <v>3</v>
      </c>
    </row>
    <row r="8" spans="2:4" x14ac:dyDescent="0.35">
      <c r="B8" t="s">
        <v>144</v>
      </c>
      <c r="C8">
        <v>1</v>
      </c>
      <c r="D8" t="s">
        <v>142</v>
      </c>
    </row>
    <row r="9" spans="2:4" x14ac:dyDescent="0.35">
      <c r="B9" t="s">
        <v>145</v>
      </c>
      <c r="C9">
        <v>1</v>
      </c>
      <c r="D9" t="s">
        <v>142</v>
      </c>
    </row>
    <row r="10" spans="2:4" x14ac:dyDescent="0.35">
      <c r="B10" t="s">
        <v>146</v>
      </c>
      <c r="C10">
        <v>5</v>
      </c>
      <c r="D10" t="s">
        <v>61</v>
      </c>
    </row>
    <row r="11" spans="2:4" x14ac:dyDescent="0.35">
      <c r="B11" t="s">
        <v>147</v>
      </c>
      <c r="C11">
        <v>0.7</v>
      </c>
      <c r="D11" t="s">
        <v>61</v>
      </c>
    </row>
    <row r="12" spans="2:4" x14ac:dyDescent="0.35">
      <c r="B12" t="s">
        <v>23</v>
      </c>
      <c r="C12">
        <v>1</v>
      </c>
      <c r="D12" t="s">
        <v>3</v>
      </c>
    </row>
    <row r="13" spans="2:4" x14ac:dyDescent="0.35">
      <c r="B13" t="s">
        <v>24</v>
      </c>
      <c r="C13">
        <v>1</v>
      </c>
      <c r="D13" t="s">
        <v>3</v>
      </c>
    </row>
    <row r="14" spans="2:4" x14ac:dyDescent="0.35">
      <c r="B14" t="s">
        <v>25</v>
      </c>
      <c r="C14">
        <v>3</v>
      </c>
      <c r="D14" t="s">
        <v>3</v>
      </c>
    </row>
    <row r="15" spans="2:4" x14ac:dyDescent="0.35">
      <c r="B15" t="s">
        <v>148</v>
      </c>
      <c r="C15">
        <v>2</v>
      </c>
      <c r="D15" t="s">
        <v>61</v>
      </c>
    </row>
    <row r="16" spans="2:4" x14ac:dyDescent="0.35">
      <c r="B16" t="s">
        <v>149</v>
      </c>
      <c r="C16">
        <v>2.5</v>
      </c>
      <c r="D16" t="s">
        <v>61</v>
      </c>
    </row>
    <row r="17" spans="2:4" x14ac:dyDescent="0.35">
      <c r="B17" t="s">
        <v>92</v>
      </c>
      <c r="C17">
        <v>2</v>
      </c>
      <c r="D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Vega</dc:creator>
  <cp:lastModifiedBy>Jorge Guerrero Vega</cp:lastModifiedBy>
  <dcterms:created xsi:type="dcterms:W3CDTF">2015-06-05T18:19:34Z</dcterms:created>
  <dcterms:modified xsi:type="dcterms:W3CDTF">2026-09-18T20:19:40Z</dcterms:modified>
</cp:coreProperties>
</file>