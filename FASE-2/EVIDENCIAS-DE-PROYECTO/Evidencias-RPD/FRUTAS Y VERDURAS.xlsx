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guerrero\Desktop\doña paula\"/>
    </mc:Choice>
  </mc:AlternateContent>
  <xr:revisionPtr revIDLastSave="0" documentId="13_ncr:1_{4936CD69-2775-4A37-AEFB-DC509E0A00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Hoja1!$A$1:$AZ$59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B5" i="1" s="1"/>
  <c r="G17" i="1" l="1"/>
  <c r="B17" i="1" s="1"/>
  <c r="G9" i="1"/>
  <c r="G3" i="1"/>
  <c r="G23" i="1" l="1"/>
  <c r="B23" i="1" s="1"/>
  <c r="G12" i="1"/>
  <c r="B12" i="1" s="1"/>
  <c r="G38" i="1" l="1"/>
  <c r="B38" i="1" s="1"/>
  <c r="G44" i="1"/>
  <c r="B44" i="1" s="1"/>
  <c r="G53" i="1" l="1"/>
  <c r="B53" i="1" s="1"/>
  <c r="G40" i="1"/>
  <c r="B40" i="1" s="1"/>
  <c r="G58" i="1" l="1"/>
  <c r="B58" i="1" s="1"/>
  <c r="G4" i="1"/>
  <c r="B4" i="1" s="1"/>
  <c r="G19" i="1"/>
  <c r="B19" i="1" s="1"/>
  <c r="G7" i="1" l="1"/>
  <c r="B7" i="1" s="1"/>
  <c r="G39" i="1"/>
  <c r="B39" i="1" s="1"/>
  <c r="G43" i="1"/>
  <c r="B43" i="1" s="1"/>
  <c r="G48" i="1"/>
  <c r="B48" i="1" s="1"/>
  <c r="G55" i="1"/>
  <c r="B55" i="1" s="1"/>
  <c r="G37" i="1"/>
  <c r="B37" i="1" s="1"/>
  <c r="G56" i="1"/>
  <c r="B56" i="1" s="1"/>
  <c r="G57" i="1"/>
  <c r="B57" i="1" s="1"/>
  <c r="G18" i="1"/>
  <c r="B18" i="1" s="1"/>
  <c r="G2" i="1"/>
  <c r="B2" i="1" s="1"/>
  <c r="G6" i="1"/>
  <c r="B6" i="1" s="1"/>
  <c r="G25" i="1"/>
  <c r="B25" i="1" s="1"/>
  <c r="G32" i="1"/>
  <c r="B32" i="1" s="1"/>
  <c r="G35" i="1"/>
  <c r="B35" i="1" s="1"/>
  <c r="G49" i="1"/>
  <c r="B49" i="1" s="1"/>
  <c r="G34" i="1"/>
  <c r="B34" i="1" s="1"/>
  <c r="G54" i="1"/>
  <c r="B54" i="1" s="1"/>
  <c r="G50" i="1"/>
  <c r="B50" i="1" s="1"/>
  <c r="G51" i="1"/>
  <c r="B51" i="1" s="1"/>
  <c r="G31" i="1"/>
  <c r="B31" i="1" s="1"/>
  <c r="G13" i="1"/>
  <c r="B13" i="1" s="1"/>
  <c r="G10" i="1"/>
  <c r="B10" i="1" s="1"/>
  <c r="G11" i="1"/>
  <c r="B11" i="1" s="1"/>
  <c r="G22" i="1"/>
  <c r="B22" i="1" s="1"/>
  <c r="G21" i="1"/>
  <c r="B21" i="1" s="1"/>
  <c r="G8" i="1"/>
  <c r="B8" i="1" s="1"/>
  <c r="G14" i="1"/>
  <c r="B14" i="1" s="1"/>
  <c r="G28" i="1"/>
  <c r="B28" i="1" s="1"/>
  <c r="G30" i="1"/>
  <c r="B30" i="1" s="1"/>
  <c r="G52" i="1"/>
  <c r="B52" i="1" s="1"/>
  <c r="G16" i="1"/>
  <c r="B16" i="1" s="1"/>
  <c r="G24" i="1"/>
  <c r="B24" i="1" s="1"/>
  <c r="G29" i="1"/>
  <c r="B29" i="1" s="1"/>
  <c r="G27" i="1"/>
  <c r="B27" i="1" s="1"/>
  <c r="G45" i="1"/>
  <c r="B45" i="1" s="1"/>
  <c r="G33" i="1"/>
  <c r="B33" i="1" s="1"/>
  <c r="G36" i="1"/>
  <c r="B36" i="1" s="1"/>
  <c r="G20" i="1"/>
  <c r="B20" i="1" s="1"/>
  <c r="G26" i="1"/>
  <c r="B26" i="1" s="1"/>
  <c r="G47" i="1"/>
  <c r="B47" i="1" s="1"/>
  <c r="G46" i="1"/>
  <c r="B46" i="1" s="1"/>
  <c r="G41" i="1"/>
  <c r="B41" i="1" s="1"/>
  <c r="G42" i="1"/>
  <c r="B42" i="1" s="1"/>
  <c r="G59" i="1"/>
  <c r="B59" i="1" s="1"/>
  <c r="G15" i="1"/>
  <c r="B15" i="1" s="1"/>
  <c r="B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tc={4919EC70-959F-4AE4-A338-0D6D74435A5E}</author>
    <author>tc={C6486A7B-88AC-45F2-B912-CCE5C574966E}</author>
  </authors>
  <commentList>
    <comment ref="AL2" authorId="0" shapeId="0" xr:uid="{4919EC70-959F-4AE4-A338-0D6D74435A5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Devuelto a cafetería</t>
      </text>
    </comment>
    <comment ref="K33" authorId="1" shapeId="0" xr:uid="{C6486A7B-88AC-45F2-B912-CCE5C574966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MERMA</t>
      </text>
    </comment>
  </commentList>
</comments>
</file>

<file path=xl/sharedStrings.xml><?xml version="1.0" encoding="utf-8"?>
<sst xmlns="http://schemas.openxmlformats.org/spreadsheetml/2006/main" count="182" uniqueCount="72">
  <si>
    <t>PRODUCTO</t>
  </si>
  <si>
    <t>DESCRIPCION</t>
  </si>
  <si>
    <t>QTY</t>
  </si>
  <si>
    <t>LIMON AMARILLO</t>
  </si>
  <si>
    <t>CEBOLLA MORADA</t>
  </si>
  <si>
    <t>CEBOLLA BLANCA</t>
  </si>
  <si>
    <t>PAPA BLANCA</t>
  </si>
  <si>
    <t>PAPA CHILOTA</t>
  </si>
  <si>
    <t>PAPA CAMOTE</t>
  </si>
  <si>
    <t>KG</t>
  </si>
  <si>
    <t>HUESILLO</t>
  </si>
  <si>
    <t>AJO</t>
  </si>
  <si>
    <t>UN</t>
  </si>
  <si>
    <t>LIMON SUTIL</t>
  </si>
  <si>
    <t>JENGIBRE</t>
  </si>
  <si>
    <t>FRUTA</t>
  </si>
  <si>
    <t>MANZANA VERDE</t>
  </si>
  <si>
    <t>NARANJA</t>
  </si>
  <si>
    <t>VERDURA</t>
  </si>
  <si>
    <t>CIBULLETT</t>
  </si>
  <si>
    <t>PAQUETES</t>
  </si>
  <si>
    <t>AJI VERDE</t>
  </si>
  <si>
    <t>PEPINO</t>
  </si>
  <si>
    <t>BROCOLI</t>
  </si>
  <si>
    <t>RABANITO</t>
  </si>
  <si>
    <t>BETERRAGA</t>
  </si>
  <si>
    <t>ALBAHACA</t>
  </si>
  <si>
    <t>APIO</t>
  </si>
  <si>
    <t>CILANTRO</t>
  </si>
  <si>
    <t>PEREJIL</t>
  </si>
  <si>
    <t>PUERRO</t>
  </si>
  <si>
    <t>ZANAHORIA</t>
  </si>
  <si>
    <t>BERENGENAS</t>
  </si>
  <si>
    <t xml:space="preserve">ZAPALLO ITALIANO </t>
  </si>
  <si>
    <t>PIMENTON VERDE</t>
  </si>
  <si>
    <t>PIMENTON ROJO</t>
  </si>
  <si>
    <t>PIMENTON AMARILLO</t>
  </si>
  <si>
    <t>TOMATE CHERRY</t>
  </si>
  <si>
    <t>CHAMPIÑON BLANCO</t>
  </si>
  <si>
    <t>PIÑA</t>
  </si>
  <si>
    <t>ARANDANO</t>
  </si>
  <si>
    <t>FRUTILLA</t>
  </si>
  <si>
    <t>MENTA</t>
  </si>
  <si>
    <t>HIERBA</t>
  </si>
  <si>
    <t xml:space="preserve">TOMATE </t>
  </si>
  <si>
    <t>STOCK</t>
  </si>
  <si>
    <t>PERA NO MADURA</t>
  </si>
  <si>
    <t>KIWI</t>
  </si>
  <si>
    <t>ZUCCHINI BABY</t>
  </si>
  <si>
    <t>PAPA TOPINAMBUR</t>
  </si>
  <si>
    <t>MIX DE HOJA</t>
  </si>
  <si>
    <t>BERRO JAPONES</t>
  </si>
  <si>
    <t>0.5</t>
  </si>
  <si>
    <t>LECHUGA LOLLO VERDE</t>
  </si>
  <si>
    <t>LECHUGA LOLLO ROSA</t>
  </si>
  <si>
    <t>ZAPALLO CAMOTE</t>
  </si>
  <si>
    <t xml:space="preserve">PULPA FRUTILLA </t>
  </si>
  <si>
    <t xml:space="preserve">PULPA MANGO </t>
  </si>
  <si>
    <t>PICKLET</t>
  </si>
  <si>
    <t>CONDIMENTO</t>
  </si>
  <si>
    <t>PULPA FRUTILLA M</t>
  </si>
  <si>
    <t>PULPA MANGO M</t>
  </si>
  <si>
    <t xml:space="preserve">PURE DE PALTA </t>
  </si>
  <si>
    <t xml:space="preserve">PULPA PIÑA </t>
  </si>
  <si>
    <t>CONGELADOS</t>
  </si>
  <si>
    <t>UDM</t>
  </si>
  <si>
    <t>PALTA</t>
  </si>
  <si>
    <t>CEBOLLIN</t>
  </si>
  <si>
    <t>UVA VERDE</t>
  </si>
  <si>
    <t>UVA NEGRA</t>
  </si>
  <si>
    <t>TOMILLO FRESCO</t>
  </si>
  <si>
    <t>CEBOLLA BLANCA PEQUEÑA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</si>
</sst>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2" fontId="3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49" fontId="0" fillId="0" borderId="1" xfId="0" applyNumberFormat="1" applyBorder="1"/>
    <xf numFmtId="0" fontId="1" fillId="3" borderId="1" xfId="0" applyFont="1" applyFill="1" applyBorder="1" applyAlignment="1">
      <alignment horizontal="center"/>
    </xf>
    <xf numFmtId="16" fontId="1" fillId="3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/>
    <xf numFmtId="42" fontId="1" fillId="3" borderId="1" xfId="1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2" fillId="2" borderId="2" xfId="0" applyFont="1" applyFill="1" applyBorder="1"/>
    <xf numFmtId="0" fontId="2" fillId="0" borderId="1" xfId="0" applyFont="1" applyBorder="1"/>
    <xf numFmtId="0" fontId="0" fillId="0" borderId="1" xfId="0" applyFill="1" applyBorder="1"/>
    <xf numFmtId="0" fontId="0" fillId="0" borderId="2" xfId="0" applyFill="1" applyBorder="1"/>
  </cellXfs>
  <cellStyles count="2">
    <cellStyle name="Moneda [0]" xfId="1" builtinId="7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rge Guerrero Vega" id="{9F9230DF-2180-436E-B3A8-6261BB6F28D6}" userId="S::jguerrero@santarita.cl::7569d1e3-bfba-46b7-8b0d-ec14a124473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L2" dT="2026-08-05T15:21:49.25" personId="{9F9230DF-2180-436E-B3A8-6261BB6F28D6}" id="{4919EC70-959F-4AE4-A338-0D6D74435A5E}">
    <text>Devuelto a cafetería</text>
  </threadedComment>
  <threadedComment ref="K33" dT="2026-07-08T13:47:15.46" personId="{9F9230DF-2180-436E-B3A8-6261BB6F28D6}" id="{C6486A7B-88AC-45F2-B912-CCE5C574966E}">
    <text>MERMA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U59"/>
  <sheetViews>
    <sheetView tabSelected="1" workbookViewId="0">
      <pane ySplit="1" topLeftCell="A43" activePane="bottomLeft" state="frozen"/>
      <selection pane="bottomLeft" activeCell="D44" sqref="D44"/>
    </sheetView>
  </sheetViews>
  <sheetFormatPr baseColWidth="10" defaultColWidth="8.7265625" defaultRowHeight="14.5" x14ac:dyDescent="0.35"/>
  <cols>
    <col min="2" max="2" width="9.26953125" bestFit="1" customWidth="1"/>
    <col min="3" max="3" width="14.90625" bestFit="1" customWidth="1"/>
    <col min="4" max="4" width="19.26953125" bestFit="1" customWidth="1"/>
    <col min="5" max="5" width="4.81640625" hidden="1" customWidth="1"/>
    <col min="6" max="6" width="9.54296875" bestFit="1" customWidth="1"/>
    <col min="8" max="26" width="0" hidden="1" customWidth="1"/>
    <col min="27" max="27" width="5.54296875" hidden="1" customWidth="1"/>
    <col min="28" max="50" width="0" hidden="1" customWidth="1"/>
  </cols>
  <sheetData>
    <row r="1" spans="1:53" s="4" customFormat="1" x14ac:dyDescent="0.35">
      <c r="B1" s="7">
        <f>SUM(B2:B1048576)</f>
        <v>550393.59999999998</v>
      </c>
      <c r="C1" s="4" t="s">
        <v>0</v>
      </c>
      <c r="D1" s="4" t="s">
        <v>1</v>
      </c>
      <c r="E1" s="4" t="s">
        <v>2</v>
      </c>
      <c r="F1" s="5" t="s">
        <v>65</v>
      </c>
      <c r="G1" s="4" t="s">
        <v>45</v>
      </c>
      <c r="H1" s="5">
        <v>46208</v>
      </c>
      <c r="I1" s="5">
        <v>46209</v>
      </c>
      <c r="J1" s="5">
        <v>46210</v>
      </c>
      <c r="K1" s="5">
        <v>46210</v>
      </c>
      <c r="L1" s="5">
        <v>46211</v>
      </c>
      <c r="M1" s="5">
        <v>46212</v>
      </c>
      <c r="N1" s="5">
        <v>46213</v>
      </c>
      <c r="O1" s="5">
        <v>46214</v>
      </c>
      <c r="P1" s="5">
        <v>46215</v>
      </c>
      <c r="Q1" s="5">
        <v>46216</v>
      </c>
      <c r="R1" s="5">
        <v>46219</v>
      </c>
      <c r="S1" s="5">
        <v>46222</v>
      </c>
      <c r="T1" s="5">
        <v>46224</v>
      </c>
      <c r="U1" s="5">
        <v>46225</v>
      </c>
      <c r="V1" s="5">
        <v>46226</v>
      </c>
      <c r="W1" s="5">
        <v>46226</v>
      </c>
      <c r="X1" s="5">
        <v>46227</v>
      </c>
      <c r="Y1" s="5">
        <v>46227</v>
      </c>
      <c r="Z1" s="5">
        <v>46228</v>
      </c>
      <c r="AA1" s="5">
        <v>46228</v>
      </c>
      <c r="AB1" s="5">
        <v>46231</v>
      </c>
      <c r="AC1" s="5">
        <v>46232</v>
      </c>
      <c r="AD1" s="5">
        <v>46232</v>
      </c>
      <c r="AE1" s="5">
        <v>46233</v>
      </c>
      <c r="AF1" s="5">
        <v>46234</v>
      </c>
      <c r="AG1" s="5">
        <v>46235</v>
      </c>
      <c r="AH1" s="5">
        <v>46235</v>
      </c>
      <c r="AI1" s="5">
        <v>46236</v>
      </c>
      <c r="AJ1" s="5">
        <v>46238</v>
      </c>
      <c r="AK1" s="5">
        <v>46239</v>
      </c>
      <c r="AL1" s="5">
        <v>46239</v>
      </c>
      <c r="AM1" s="5">
        <v>46240</v>
      </c>
      <c r="AN1" s="5">
        <v>46241</v>
      </c>
      <c r="AO1" s="5">
        <v>46245</v>
      </c>
      <c r="AP1" s="5">
        <v>46246</v>
      </c>
      <c r="AQ1" s="5">
        <v>46247</v>
      </c>
      <c r="AR1" s="5">
        <v>46248</v>
      </c>
      <c r="AS1" s="5">
        <v>46250</v>
      </c>
      <c r="AT1" s="5">
        <v>46252</v>
      </c>
      <c r="AU1" s="5">
        <v>46253</v>
      </c>
      <c r="AV1" s="5">
        <v>46255</v>
      </c>
      <c r="AW1" s="5">
        <v>46255</v>
      </c>
      <c r="AX1" s="5">
        <v>46256</v>
      </c>
      <c r="AY1" s="5">
        <v>46259</v>
      </c>
      <c r="AZ1" s="5">
        <v>46260</v>
      </c>
      <c r="BA1" s="5">
        <v>46263</v>
      </c>
    </row>
    <row r="2" spans="1:53" s="1" customFormat="1" x14ac:dyDescent="0.35">
      <c r="A2" s="1">
        <v>6000</v>
      </c>
      <c r="B2" s="1">
        <f>+A2*G2</f>
        <v>6000</v>
      </c>
      <c r="C2" s="1" t="s">
        <v>15</v>
      </c>
      <c r="D2" s="12" t="s">
        <v>41</v>
      </c>
      <c r="E2" s="1">
        <v>2</v>
      </c>
      <c r="F2" s="1" t="s">
        <v>9</v>
      </c>
      <c r="G2" s="2">
        <f t="shared" ref="G2:G33" si="0">+SUM(H2:XFD2,E2)</f>
        <v>1</v>
      </c>
      <c r="N2" s="1">
        <v>-2</v>
      </c>
      <c r="O2" s="1">
        <v>1</v>
      </c>
      <c r="X2" s="1">
        <v>-0.6</v>
      </c>
      <c r="Z2" s="1">
        <v>1</v>
      </c>
      <c r="AB2" s="1">
        <v>-1.4</v>
      </c>
      <c r="AC2" s="1">
        <v>2</v>
      </c>
      <c r="AI2" s="1">
        <v>-1.2</v>
      </c>
      <c r="AK2" s="1">
        <v>4</v>
      </c>
      <c r="AL2" s="1">
        <v>-3</v>
      </c>
      <c r="AP2" s="1">
        <v>-0.8</v>
      </c>
      <c r="AR2" s="1">
        <v>-0.6</v>
      </c>
      <c r="AT2" s="1">
        <v>-0.4</v>
      </c>
      <c r="AV2" s="1">
        <v>1</v>
      </c>
      <c r="AW2" s="1">
        <v>-0.5</v>
      </c>
      <c r="AX2" s="1">
        <v>1</v>
      </c>
      <c r="AY2" s="1">
        <v>-0.1</v>
      </c>
      <c r="AZ2" s="1">
        <v>-1.4</v>
      </c>
      <c r="BA2" s="1">
        <v>1</v>
      </c>
    </row>
    <row r="3" spans="1:53" s="1" customFormat="1" x14ac:dyDescent="0.35">
      <c r="C3" s="1" t="s">
        <v>15</v>
      </c>
      <c r="D3" s="12" t="s">
        <v>68</v>
      </c>
      <c r="F3" s="1" t="s">
        <v>9</v>
      </c>
      <c r="G3" s="2">
        <f t="shared" si="0"/>
        <v>0.6</v>
      </c>
      <c r="AS3" s="1">
        <v>0.46</v>
      </c>
      <c r="AU3" s="1">
        <v>-0.46</v>
      </c>
      <c r="AV3" s="1">
        <v>1</v>
      </c>
      <c r="AW3" s="1">
        <v>-0.42</v>
      </c>
      <c r="AX3" s="1">
        <v>-0.2</v>
      </c>
      <c r="AY3" s="1">
        <v>0.6</v>
      </c>
      <c r="AZ3" s="1">
        <v>-0.38</v>
      </c>
    </row>
    <row r="4" spans="1:53" s="1" customFormat="1" x14ac:dyDescent="0.35">
      <c r="A4" s="1">
        <v>4000</v>
      </c>
      <c r="B4" s="1">
        <f>+A4*G4</f>
        <v>4000</v>
      </c>
      <c r="C4" s="1" t="s">
        <v>18</v>
      </c>
      <c r="D4" s="12" t="s">
        <v>51</v>
      </c>
      <c r="E4" s="1">
        <v>0</v>
      </c>
      <c r="F4" s="1" t="s">
        <v>9</v>
      </c>
      <c r="G4" s="2">
        <f t="shared" si="0"/>
        <v>1</v>
      </c>
      <c r="J4" s="1">
        <v>0.6</v>
      </c>
      <c r="L4" s="1">
        <v>-0.7</v>
      </c>
      <c r="M4" s="1">
        <v>0.5</v>
      </c>
      <c r="Q4" s="1">
        <v>-0.4</v>
      </c>
      <c r="AB4" s="1">
        <v>1</v>
      </c>
      <c r="AE4" s="1">
        <v>1</v>
      </c>
      <c r="AF4" s="1">
        <v>-1</v>
      </c>
      <c r="AI4" s="1">
        <v>-1</v>
      </c>
      <c r="AJ4" s="1">
        <v>1</v>
      </c>
      <c r="AK4" s="1">
        <v>-1</v>
      </c>
      <c r="AP4" s="1">
        <v>1</v>
      </c>
      <c r="AR4" s="1">
        <v>-0.25</v>
      </c>
      <c r="AS4" s="1">
        <v>-0.5</v>
      </c>
      <c r="AT4" s="1">
        <v>-0.25</v>
      </c>
      <c r="AU4" s="1">
        <v>0.5</v>
      </c>
      <c r="AW4" s="1">
        <v>-0.5</v>
      </c>
      <c r="AY4" s="1">
        <v>1</v>
      </c>
    </row>
    <row r="5" spans="1:53" s="1" customFormat="1" x14ac:dyDescent="0.35">
      <c r="A5" s="1">
        <v>1000</v>
      </c>
      <c r="B5" s="1">
        <f>+A5*G5</f>
        <v>0</v>
      </c>
      <c r="C5" s="1" t="s">
        <v>18</v>
      </c>
      <c r="D5" s="12" t="s">
        <v>71</v>
      </c>
      <c r="F5" s="1" t="s">
        <v>9</v>
      </c>
      <c r="G5" s="2">
        <f t="shared" si="0"/>
        <v>0</v>
      </c>
      <c r="AX5" s="1">
        <v>1.4</v>
      </c>
      <c r="AY5" s="1">
        <v>-1.4</v>
      </c>
    </row>
    <row r="6" spans="1:53" s="1" customFormat="1" x14ac:dyDescent="0.35">
      <c r="B6" s="1">
        <f>+A6*G6</f>
        <v>0</v>
      </c>
      <c r="C6" s="1" t="s">
        <v>15</v>
      </c>
      <c r="D6" s="12" t="s">
        <v>40</v>
      </c>
      <c r="E6" s="1">
        <v>0.5</v>
      </c>
      <c r="F6" s="1" t="s">
        <v>9</v>
      </c>
      <c r="G6" s="2">
        <f t="shared" si="0"/>
        <v>0</v>
      </c>
      <c r="M6" s="1">
        <v>1</v>
      </c>
      <c r="P6" s="1">
        <v>-0.5</v>
      </c>
      <c r="V6" s="1">
        <v>-1</v>
      </c>
    </row>
    <row r="7" spans="1:53" s="1" customFormat="1" x14ac:dyDescent="0.35">
      <c r="B7" s="1">
        <f>+A7*G7</f>
        <v>0</v>
      </c>
      <c r="C7" s="1" t="s">
        <v>18</v>
      </c>
      <c r="D7" s="12" t="s">
        <v>49</v>
      </c>
      <c r="E7" s="1">
        <v>0</v>
      </c>
      <c r="F7" s="1" t="s">
        <v>9</v>
      </c>
      <c r="G7" s="2">
        <f t="shared" si="0"/>
        <v>0</v>
      </c>
      <c r="I7" s="1">
        <v>5</v>
      </c>
      <c r="P7" s="1">
        <v>-5</v>
      </c>
    </row>
    <row r="8" spans="1:53" s="1" customFormat="1" x14ac:dyDescent="0.35">
      <c r="A8" s="1">
        <v>800</v>
      </c>
      <c r="B8" s="1">
        <f>+A8*G8</f>
        <v>0</v>
      </c>
      <c r="C8" s="1" t="s">
        <v>18</v>
      </c>
      <c r="D8" s="12" t="s">
        <v>48</v>
      </c>
      <c r="E8" s="1">
        <v>42</v>
      </c>
      <c r="F8" s="1" t="s">
        <v>12</v>
      </c>
      <c r="G8" s="2">
        <f t="shared" si="0"/>
        <v>0</v>
      </c>
      <c r="Q8" s="1">
        <v>-12</v>
      </c>
      <c r="S8" s="1">
        <v>-15</v>
      </c>
      <c r="Z8" s="1">
        <v>-15</v>
      </c>
      <c r="AC8" s="1">
        <v>10</v>
      </c>
      <c r="AI8" s="1">
        <v>-4</v>
      </c>
      <c r="AP8" s="1">
        <v>-3</v>
      </c>
      <c r="AS8" s="1">
        <v>-3</v>
      </c>
    </row>
    <row r="9" spans="1:53" s="1" customFormat="1" x14ac:dyDescent="0.35">
      <c r="C9" s="1" t="s">
        <v>15</v>
      </c>
      <c r="D9" s="12" t="s">
        <v>69</v>
      </c>
      <c r="F9" s="1" t="s">
        <v>9</v>
      </c>
      <c r="G9" s="2">
        <f t="shared" si="0"/>
        <v>0</v>
      </c>
      <c r="AS9" s="1">
        <v>0.52</v>
      </c>
      <c r="AW9" s="1">
        <v>-0.52</v>
      </c>
    </row>
    <row r="10" spans="1:53" s="1" customFormat="1" x14ac:dyDescent="0.35">
      <c r="A10" s="1">
        <v>3000</v>
      </c>
      <c r="B10" s="1">
        <f t="shared" ref="B10:B41" si="1">+A10*G10</f>
        <v>1500</v>
      </c>
      <c r="C10" s="1" t="s">
        <v>18</v>
      </c>
      <c r="D10" s="12" t="s">
        <v>29</v>
      </c>
      <c r="E10" s="1">
        <v>1</v>
      </c>
      <c r="F10" s="1" t="s">
        <v>9</v>
      </c>
      <c r="G10" s="2">
        <f t="shared" si="0"/>
        <v>0.5</v>
      </c>
      <c r="X10" s="1">
        <v>1</v>
      </c>
      <c r="AE10" s="1">
        <v>-1</v>
      </c>
      <c r="AI10" s="1">
        <v>-1</v>
      </c>
      <c r="AK10" s="1">
        <v>1</v>
      </c>
      <c r="AP10" s="1">
        <v>-1</v>
      </c>
      <c r="AR10" s="1">
        <v>1.3</v>
      </c>
      <c r="AS10" s="1">
        <v>-1</v>
      </c>
      <c r="AT10" s="1">
        <v>0.5</v>
      </c>
      <c r="AY10" s="1">
        <v>0.5</v>
      </c>
      <c r="AZ10" s="1">
        <v>-0.8</v>
      </c>
    </row>
    <row r="11" spans="1:53" s="1" customFormat="1" x14ac:dyDescent="0.35">
      <c r="A11" s="1">
        <v>3500</v>
      </c>
      <c r="B11" s="1">
        <f t="shared" si="1"/>
        <v>1750</v>
      </c>
      <c r="C11" s="1" t="s">
        <v>18</v>
      </c>
      <c r="D11" s="12" t="s">
        <v>28</v>
      </c>
      <c r="E11" s="1">
        <v>1</v>
      </c>
      <c r="F11" s="1" t="s">
        <v>20</v>
      </c>
      <c r="G11" s="2">
        <f t="shared" si="0"/>
        <v>0.5</v>
      </c>
      <c r="W11" s="1">
        <v>-1</v>
      </c>
      <c r="X11" s="1">
        <v>1</v>
      </c>
      <c r="AI11" s="1">
        <v>-1</v>
      </c>
      <c r="AK11" s="1">
        <v>1</v>
      </c>
      <c r="AY11" s="1">
        <v>0.5</v>
      </c>
      <c r="AZ11" s="1">
        <v>-1</v>
      </c>
    </row>
    <row r="12" spans="1:53" s="1" customFormat="1" x14ac:dyDescent="0.35">
      <c r="A12" s="1">
        <v>3800</v>
      </c>
      <c r="B12" s="1">
        <f t="shared" si="1"/>
        <v>3800</v>
      </c>
      <c r="C12" s="1" t="s">
        <v>59</v>
      </c>
      <c r="D12" s="12" t="s">
        <v>58</v>
      </c>
      <c r="F12" s="1" t="s">
        <v>12</v>
      </c>
      <c r="G12" s="2">
        <f t="shared" si="0"/>
        <v>1</v>
      </c>
      <c r="AC12" s="1">
        <v>1</v>
      </c>
      <c r="AD12" s="1">
        <v>-1</v>
      </c>
      <c r="AH12" s="1">
        <v>1</v>
      </c>
      <c r="AW12" s="1">
        <v>-1</v>
      </c>
      <c r="AY12" s="1">
        <v>1</v>
      </c>
    </row>
    <row r="13" spans="1:53" s="1" customFormat="1" x14ac:dyDescent="0.35">
      <c r="A13" s="1">
        <v>14000</v>
      </c>
      <c r="B13" s="1">
        <f t="shared" si="1"/>
        <v>0</v>
      </c>
      <c r="C13" s="1" t="s">
        <v>18</v>
      </c>
      <c r="D13" s="12" t="s">
        <v>30</v>
      </c>
      <c r="E13" s="1">
        <v>1</v>
      </c>
      <c r="F13" s="1" t="s">
        <v>20</v>
      </c>
      <c r="G13" s="2">
        <f t="shared" si="0"/>
        <v>0</v>
      </c>
      <c r="I13" s="1">
        <v>-1</v>
      </c>
      <c r="M13" s="1">
        <v>1</v>
      </c>
      <c r="X13" s="1">
        <v>1</v>
      </c>
      <c r="Z13" s="1">
        <v>-2</v>
      </c>
      <c r="AC13" s="1">
        <v>1</v>
      </c>
      <c r="AP13" s="1">
        <v>1</v>
      </c>
      <c r="AW13" s="1">
        <v>-2</v>
      </c>
    </row>
    <row r="14" spans="1:53" s="1" customFormat="1" x14ac:dyDescent="0.35">
      <c r="A14" s="1">
        <v>1450</v>
      </c>
      <c r="B14" s="1">
        <f t="shared" si="1"/>
        <v>0</v>
      </c>
      <c r="C14" s="1" t="s">
        <v>18</v>
      </c>
      <c r="D14" s="12" t="s">
        <v>25</v>
      </c>
      <c r="E14" s="1">
        <v>3</v>
      </c>
      <c r="F14" s="1" t="s">
        <v>20</v>
      </c>
      <c r="G14" s="2">
        <f t="shared" si="0"/>
        <v>0</v>
      </c>
      <c r="AW14" s="1">
        <v>-3</v>
      </c>
    </row>
    <row r="15" spans="1:53" s="1" customFormat="1" x14ac:dyDescent="0.35">
      <c r="A15" s="1">
        <v>600</v>
      </c>
      <c r="B15" s="1">
        <f t="shared" si="1"/>
        <v>18000</v>
      </c>
      <c r="C15" s="1" t="s">
        <v>18</v>
      </c>
      <c r="D15" s="12" t="s">
        <v>3</v>
      </c>
      <c r="E15" s="1">
        <v>3</v>
      </c>
      <c r="F15" s="1" t="s">
        <v>9</v>
      </c>
      <c r="G15" s="2">
        <f t="shared" si="0"/>
        <v>30</v>
      </c>
      <c r="L15" s="1">
        <v>-1</v>
      </c>
      <c r="N15" s="1">
        <v>-1</v>
      </c>
      <c r="O15" s="1">
        <v>1</v>
      </c>
      <c r="U15" s="1">
        <v>-2</v>
      </c>
      <c r="X15" s="1">
        <v>2</v>
      </c>
      <c r="Y15" s="1">
        <v>-1</v>
      </c>
      <c r="Z15" s="1">
        <v>-1</v>
      </c>
      <c r="AC15" s="1">
        <v>2</v>
      </c>
      <c r="AE15" s="1">
        <v>-1</v>
      </c>
      <c r="AF15" s="1">
        <v>9.5</v>
      </c>
      <c r="AH15" s="1">
        <v>17.8</v>
      </c>
      <c r="AI15" s="1">
        <v>-28.3</v>
      </c>
      <c r="AK15" s="1">
        <v>15</v>
      </c>
      <c r="AN15" s="1">
        <v>-15</v>
      </c>
      <c r="AP15" s="1">
        <v>15</v>
      </c>
      <c r="AR15" s="1">
        <v>16</v>
      </c>
      <c r="AS15" s="1">
        <v>-17</v>
      </c>
      <c r="AV15" s="1">
        <v>-4</v>
      </c>
      <c r="AX15" s="1">
        <v>-10</v>
      </c>
      <c r="AY15" s="1">
        <v>30</v>
      </c>
    </row>
    <row r="16" spans="1:53" s="1" customFormat="1" x14ac:dyDescent="0.35">
      <c r="A16" s="1">
        <v>4000</v>
      </c>
      <c r="B16" s="1">
        <f t="shared" si="1"/>
        <v>2599.9999999999986</v>
      </c>
      <c r="C16" s="1" t="s">
        <v>18</v>
      </c>
      <c r="D16" s="12" t="s">
        <v>21</v>
      </c>
      <c r="E16" s="1">
        <v>1.7</v>
      </c>
      <c r="F16" s="1" t="s">
        <v>9</v>
      </c>
      <c r="G16" s="2">
        <f t="shared" si="0"/>
        <v>0.64999999999999969</v>
      </c>
      <c r="N16" s="1">
        <v>-0.9</v>
      </c>
      <c r="X16" s="1">
        <v>0.5</v>
      </c>
      <c r="Z16" s="1">
        <v>-0.8</v>
      </c>
      <c r="AE16" s="1">
        <v>-0.1</v>
      </c>
      <c r="AH16" s="1">
        <v>0.4</v>
      </c>
      <c r="AI16" s="1">
        <v>-0.25</v>
      </c>
      <c r="AN16" s="1">
        <v>0.28000000000000003</v>
      </c>
      <c r="AP16" s="1">
        <v>-0.2</v>
      </c>
      <c r="AS16" s="1">
        <v>-0.4</v>
      </c>
      <c r="AT16" s="1">
        <v>0.2</v>
      </c>
      <c r="AW16" s="1">
        <v>-0.1</v>
      </c>
      <c r="AY16" s="1">
        <v>0.5</v>
      </c>
      <c r="AZ16" s="1">
        <v>-0.18</v>
      </c>
    </row>
    <row r="17" spans="1:53" s="1" customFormat="1" x14ac:dyDescent="0.35">
      <c r="A17" s="1">
        <v>16000</v>
      </c>
      <c r="B17" s="1">
        <f t="shared" si="1"/>
        <v>0</v>
      </c>
      <c r="C17" s="1" t="s">
        <v>18</v>
      </c>
      <c r="D17" s="12" t="s">
        <v>70</v>
      </c>
      <c r="F17" s="1" t="s">
        <v>9</v>
      </c>
      <c r="G17" s="2">
        <f t="shared" si="0"/>
        <v>0</v>
      </c>
      <c r="AV17" s="1">
        <v>0.3</v>
      </c>
      <c r="AX17" s="1">
        <v>-0.04</v>
      </c>
      <c r="AY17" s="1">
        <v>-0.19</v>
      </c>
      <c r="AZ17" s="1">
        <v>-7.0000000000000007E-2</v>
      </c>
    </row>
    <row r="18" spans="1:53" s="1" customFormat="1" x14ac:dyDescent="0.35">
      <c r="A18" s="1">
        <v>15000</v>
      </c>
      <c r="B18" s="1">
        <f t="shared" si="1"/>
        <v>0</v>
      </c>
      <c r="C18" s="1" t="s">
        <v>43</v>
      </c>
      <c r="D18" s="12" t="s">
        <v>42</v>
      </c>
      <c r="E18" s="1">
        <v>3</v>
      </c>
      <c r="F18" s="1" t="s">
        <v>9</v>
      </c>
      <c r="G18" s="2">
        <f t="shared" si="0"/>
        <v>0</v>
      </c>
      <c r="M18" s="1">
        <v>-1</v>
      </c>
      <c r="Z18" s="1">
        <v>-2</v>
      </c>
      <c r="AC18" s="1">
        <v>0.5</v>
      </c>
      <c r="AT18" s="1">
        <v>-0.4</v>
      </c>
      <c r="AV18" s="1">
        <v>0.23</v>
      </c>
      <c r="AX18" s="1">
        <v>-0.13</v>
      </c>
      <c r="AY18" s="1">
        <v>-0.2</v>
      </c>
    </row>
    <row r="19" spans="1:53" s="1" customFormat="1" x14ac:dyDescent="0.35">
      <c r="A19" s="1">
        <v>7000</v>
      </c>
      <c r="B19" s="1">
        <f t="shared" si="1"/>
        <v>16099.999999999998</v>
      </c>
      <c r="C19" s="1" t="s">
        <v>18</v>
      </c>
      <c r="D19" s="12" t="s">
        <v>50</v>
      </c>
      <c r="E19" s="1">
        <v>0</v>
      </c>
      <c r="F19" s="1" t="s">
        <v>9</v>
      </c>
      <c r="G19" s="2">
        <f t="shared" si="0"/>
        <v>2.2999999999999998</v>
      </c>
      <c r="J19" s="1">
        <v>0.5</v>
      </c>
      <c r="M19" s="1">
        <v>1</v>
      </c>
      <c r="Q19" s="1">
        <v>-1</v>
      </c>
      <c r="AE19" s="1">
        <v>1</v>
      </c>
      <c r="AI19" s="1">
        <v>-0.2</v>
      </c>
      <c r="AN19" s="1">
        <v>-0.3</v>
      </c>
      <c r="AS19" s="1">
        <v>-0.5</v>
      </c>
      <c r="AU19" s="1">
        <v>0.5</v>
      </c>
      <c r="AX19" s="1">
        <v>-0.7</v>
      </c>
      <c r="AY19" s="8"/>
      <c r="AZ19" s="1">
        <v>2</v>
      </c>
    </row>
    <row r="20" spans="1:53" s="1" customFormat="1" x14ac:dyDescent="0.35">
      <c r="A20" s="1">
        <v>4500</v>
      </c>
      <c r="B20" s="1">
        <f t="shared" si="1"/>
        <v>1665.0000000000205</v>
      </c>
      <c r="C20" s="1" t="s">
        <v>59</v>
      </c>
      <c r="D20" s="12" t="s">
        <v>14</v>
      </c>
      <c r="E20" s="1">
        <v>70</v>
      </c>
      <c r="F20" s="1" t="s">
        <v>9</v>
      </c>
      <c r="G20" s="2">
        <f t="shared" si="0"/>
        <v>0.37000000000000455</v>
      </c>
      <c r="I20" s="1">
        <v>200</v>
      </c>
      <c r="J20" s="1">
        <v>-270</v>
      </c>
      <c r="R20" s="1">
        <v>0.4</v>
      </c>
      <c r="AI20" s="1">
        <v>-0.05</v>
      </c>
      <c r="AP20" s="1">
        <v>-0.12</v>
      </c>
      <c r="AR20" s="1">
        <v>0.4</v>
      </c>
      <c r="AS20" s="1">
        <v>-0.03</v>
      </c>
      <c r="AW20" s="1">
        <v>-0.2</v>
      </c>
      <c r="AZ20" s="1">
        <v>-0.03</v>
      </c>
    </row>
    <row r="21" spans="1:53" s="1" customFormat="1" x14ac:dyDescent="0.35">
      <c r="A21" s="1">
        <v>7000</v>
      </c>
      <c r="B21" s="1">
        <f t="shared" si="1"/>
        <v>5600</v>
      </c>
      <c r="C21" s="1" t="s">
        <v>18</v>
      </c>
      <c r="D21" s="12" t="s">
        <v>26</v>
      </c>
      <c r="E21" s="1">
        <v>2</v>
      </c>
      <c r="F21" s="1" t="s">
        <v>9</v>
      </c>
      <c r="G21" s="2">
        <f t="shared" si="0"/>
        <v>0.8</v>
      </c>
      <c r="Q21" s="1">
        <v>-1</v>
      </c>
      <c r="X21" s="1">
        <v>1</v>
      </c>
      <c r="Z21" s="1">
        <v>-1</v>
      </c>
      <c r="AI21" s="1">
        <v>-1</v>
      </c>
      <c r="AK21" s="1">
        <v>1</v>
      </c>
      <c r="AP21" s="1">
        <v>-1</v>
      </c>
      <c r="AR21" s="1">
        <v>0.7</v>
      </c>
      <c r="AT21" s="1">
        <v>-0.7</v>
      </c>
      <c r="AV21" s="1">
        <v>0.5</v>
      </c>
      <c r="AZ21" s="1">
        <v>0.3</v>
      </c>
    </row>
    <row r="22" spans="1:53" s="1" customFormat="1" x14ac:dyDescent="0.35">
      <c r="A22" s="1">
        <v>2000</v>
      </c>
      <c r="B22" s="1">
        <f t="shared" si="1"/>
        <v>0</v>
      </c>
      <c r="C22" s="1" t="s">
        <v>18</v>
      </c>
      <c r="D22" s="12" t="s">
        <v>27</v>
      </c>
      <c r="E22" s="1">
        <v>1</v>
      </c>
      <c r="F22" s="1" t="s">
        <v>12</v>
      </c>
      <c r="G22" s="2">
        <f t="shared" si="0"/>
        <v>0</v>
      </c>
      <c r="M22" s="1">
        <v>1</v>
      </c>
      <c r="Q22" s="1">
        <v>-1</v>
      </c>
      <c r="AE22" s="1">
        <v>-0.5</v>
      </c>
      <c r="AH22" s="1">
        <v>1</v>
      </c>
      <c r="AI22" s="1">
        <v>-0.5</v>
      </c>
      <c r="AM22" s="1">
        <v>-1</v>
      </c>
      <c r="AN22" s="1">
        <v>1</v>
      </c>
      <c r="AU22" s="1">
        <v>-0.5</v>
      </c>
      <c r="AW22" s="1">
        <v>-0.5</v>
      </c>
      <c r="AX22" s="1">
        <v>1</v>
      </c>
      <c r="AY22" s="1">
        <v>-1</v>
      </c>
    </row>
    <row r="23" spans="1:53" s="1" customFormat="1" x14ac:dyDescent="0.35">
      <c r="A23" s="1">
        <v>10000</v>
      </c>
      <c r="B23" s="1">
        <f t="shared" si="1"/>
        <v>0</v>
      </c>
      <c r="C23" s="1" t="s">
        <v>18</v>
      </c>
      <c r="D23" s="12" t="s">
        <v>67</v>
      </c>
      <c r="F23" s="1" t="s">
        <v>20</v>
      </c>
      <c r="G23" s="2">
        <f t="shared" si="0"/>
        <v>0</v>
      </c>
      <c r="AR23" s="1">
        <v>1</v>
      </c>
      <c r="AY23" s="1">
        <v>-1</v>
      </c>
    </row>
    <row r="24" spans="1:53" s="1" customFormat="1" x14ac:dyDescent="0.35">
      <c r="A24" s="1">
        <v>3000</v>
      </c>
      <c r="B24" s="1">
        <f t="shared" si="1"/>
        <v>3000</v>
      </c>
      <c r="C24" s="1" t="s">
        <v>18</v>
      </c>
      <c r="D24" s="12" t="s">
        <v>19</v>
      </c>
      <c r="E24" s="1">
        <v>4</v>
      </c>
      <c r="F24" s="1" t="s">
        <v>20</v>
      </c>
      <c r="G24" s="2">
        <f t="shared" si="0"/>
        <v>1</v>
      </c>
      <c r="N24" s="1">
        <v>-2</v>
      </c>
      <c r="S24" s="1">
        <v>-2</v>
      </c>
      <c r="T24" s="1">
        <v>-1</v>
      </c>
      <c r="U24" s="1">
        <v>2</v>
      </c>
      <c r="X24" s="1">
        <v>1</v>
      </c>
      <c r="Z24" s="1">
        <v>-1</v>
      </c>
      <c r="AB24" s="1">
        <v>-1</v>
      </c>
      <c r="AC24" s="1">
        <v>2</v>
      </c>
      <c r="AE24" s="1">
        <v>-0.5</v>
      </c>
      <c r="AF24" s="1">
        <v>-0.5</v>
      </c>
      <c r="AH24" s="1">
        <v>1</v>
      </c>
      <c r="AI24" s="1">
        <v>-1.5</v>
      </c>
      <c r="AK24" s="1">
        <v>1</v>
      </c>
      <c r="AM24" s="1">
        <v>-1</v>
      </c>
      <c r="AN24" s="1">
        <v>2</v>
      </c>
      <c r="AP24" s="1">
        <v>-0.5</v>
      </c>
      <c r="AQ24" s="1">
        <v>-1</v>
      </c>
      <c r="AR24" s="1">
        <v>1</v>
      </c>
      <c r="AS24" s="1">
        <v>-1</v>
      </c>
      <c r="AT24" s="1">
        <v>1</v>
      </c>
      <c r="AV24" s="1">
        <v>-1</v>
      </c>
      <c r="AW24" s="1">
        <v>-1</v>
      </c>
      <c r="AX24" s="11">
        <v>2</v>
      </c>
      <c r="AY24" s="1">
        <v>-1</v>
      </c>
    </row>
    <row r="25" spans="1:53" s="1" customFormat="1" x14ac:dyDescent="0.35">
      <c r="A25" s="1">
        <v>3500</v>
      </c>
      <c r="B25" s="1">
        <f t="shared" si="1"/>
        <v>7000</v>
      </c>
      <c r="C25" s="1" t="s">
        <v>15</v>
      </c>
      <c r="D25" s="12" t="s">
        <v>39</v>
      </c>
      <c r="E25" s="1">
        <v>4</v>
      </c>
      <c r="F25" s="1" t="s">
        <v>12</v>
      </c>
      <c r="G25" s="2">
        <f t="shared" si="0"/>
        <v>2</v>
      </c>
      <c r="N25" s="1">
        <v>-1</v>
      </c>
      <c r="Q25" s="1">
        <v>-3</v>
      </c>
      <c r="T25" s="1">
        <v>-1</v>
      </c>
      <c r="U25" s="1">
        <v>3</v>
      </c>
      <c r="AG25" s="1">
        <v>-1</v>
      </c>
      <c r="AH25" s="1">
        <v>-1</v>
      </c>
      <c r="AI25" s="1">
        <v>1</v>
      </c>
      <c r="AM25" s="1">
        <v>-1</v>
      </c>
      <c r="AN25" s="1">
        <v>2</v>
      </c>
      <c r="AR25" s="1">
        <v>-1</v>
      </c>
      <c r="AT25" s="1">
        <v>-1</v>
      </c>
      <c r="AU25" s="1">
        <v>2</v>
      </c>
      <c r="AX25" s="1">
        <v>-1</v>
      </c>
      <c r="AY25" s="1">
        <v>1</v>
      </c>
    </row>
    <row r="26" spans="1:53" s="1" customFormat="1" x14ac:dyDescent="0.35">
      <c r="A26" s="1">
        <v>2500</v>
      </c>
      <c r="B26" s="1">
        <f t="shared" si="1"/>
        <v>3450.0000000000018</v>
      </c>
      <c r="C26" s="1" t="s">
        <v>18</v>
      </c>
      <c r="D26" s="12" t="s">
        <v>13</v>
      </c>
      <c r="E26" s="1">
        <v>6.5</v>
      </c>
      <c r="F26" s="1" t="s">
        <v>9</v>
      </c>
      <c r="G26" s="2">
        <f t="shared" si="0"/>
        <v>1.3800000000000008</v>
      </c>
      <c r="N26" s="1">
        <v>-1</v>
      </c>
      <c r="O26" s="1">
        <v>-0.7</v>
      </c>
      <c r="Q26" s="1">
        <v>-1.2</v>
      </c>
      <c r="R26" s="1">
        <v>-2.6</v>
      </c>
      <c r="X26" s="1">
        <v>1</v>
      </c>
      <c r="Z26" s="1">
        <v>-1</v>
      </c>
      <c r="AC26" s="1">
        <v>1</v>
      </c>
      <c r="AF26" s="1">
        <v>-0.2</v>
      </c>
      <c r="AI26" s="1">
        <v>-1.4</v>
      </c>
      <c r="AK26" s="1">
        <v>2</v>
      </c>
      <c r="AN26" s="1">
        <v>-0.7</v>
      </c>
      <c r="AP26" s="1">
        <v>-1.4</v>
      </c>
      <c r="AS26" s="1">
        <v>1</v>
      </c>
      <c r="AV26" s="1">
        <v>1</v>
      </c>
      <c r="AX26" s="1">
        <v>-0.5</v>
      </c>
      <c r="AY26" s="1">
        <v>-0.42</v>
      </c>
    </row>
    <row r="27" spans="1:53" s="1" customFormat="1" x14ac:dyDescent="0.35">
      <c r="A27" s="1">
        <v>2500</v>
      </c>
      <c r="B27" s="1">
        <f t="shared" si="1"/>
        <v>3824.9999999999982</v>
      </c>
      <c r="C27" s="1" t="s">
        <v>15</v>
      </c>
      <c r="D27" s="12" t="s">
        <v>47</v>
      </c>
      <c r="E27" s="1">
        <v>4</v>
      </c>
      <c r="F27" s="1" t="s">
        <v>9</v>
      </c>
      <c r="G27" s="2">
        <f t="shared" si="0"/>
        <v>1.5299999999999994</v>
      </c>
      <c r="O27" s="1">
        <v>-1.2</v>
      </c>
      <c r="T27" s="1">
        <v>-0.8</v>
      </c>
      <c r="AF27" s="1">
        <v>-0.6</v>
      </c>
      <c r="AI27" s="1">
        <v>-0.2</v>
      </c>
      <c r="AP27" s="1">
        <v>-0.37</v>
      </c>
      <c r="AR27" s="1">
        <v>1</v>
      </c>
      <c r="AS27" s="1">
        <v>-0.8</v>
      </c>
      <c r="AV27" s="1">
        <v>1</v>
      </c>
      <c r="AW27" s="1">
        <v>-1.4</v>
      </c>
      <c r="AX27" s="1">
        <v>2</v>
      </c>
      <c r="AY27" s="1">
        <v>-0.1</v>
      </c>
      <c r="AZ27" s="1">
        <v>-1</v>
      </c>
    </row>
    <row r="28" spans="1:53" s="1" customFormat="1" x14ac:dyDescent="0.35">
      <c r="A28" s="1">
        <v>1000</v>
      </c>
      <c r="B28" s="1">
        <f t="shared" si="1"/>
        <v>1000</v>
      </c>
      <c r="C28" s="1" t="s">
        <v>18</v>
      </c>
      <c r="D28" s="12" t="s">
        <v>24</v>
      </c>
      <c r="E28" s="1">
        <v>4</v>
      </c>
      <c r="F28" s="1" t="s">
        <v>20</v>
      </c>
      <c r="G28" s="2">
        <f t="shared" si="0"/>
        <v>1</v>
      </c>
      <c r="I28" s="1">
        <v>-2</v>
      </c>
      <c r="M28" s="1">
        <v>2</v>
      </c>
      <c r="P28" s="1">
        <v>-2</v>
      </c>
      <c r="R28" s="1">
        <v>-2</v>
      </c>
      <c r="T28" s="1">
        <v>-1</v>
      </c>
      <c r="U28" s="1">
        <v>2</v>
      </c>
      <c r="Z28" s="1">
        <v>-1</v>
      </c>
      <c r="AC28" s="1">
        <v>1</v>
      </c>
      <c r="AI28" s="1">
        <v>-1</v>
      </c>
      <c r="AN28" s="1">
        <v>2</v>
      </c>
      <c r="AR28" s="1">
        <v>-2</v>
      </c>
      <c r="AS28" s="1">
        <v>3</v>
      </c>
      <c r="AT28" s="1">
        <v>-1</v>
      </c>
      <c r="AU28" s="1">
        <v>1</v>
      </c>
      <c r="AX28" s="1">
        <v>-1</v>
      </c>
      <c r="AY28" s="1">
        <v>-1</v>
      </c>
    </row>
    <row r="29" spans="1:53" s="1" customFormat="1" x14ac:dyDescent="0.35">
      <c r="A29" s="1">
        <v>4990</v>
      </c>
      <c r="B29" s="1">
        <f t="shared" si="1"/>
        <v>13572.800000000001</v>
      </c>
      <c r="C29" s="1" t="s">
        <v>18</v>
      </c>
      <c r="D29" s="12" t="s">
        <v>66</v>
      </c>
      <c r="E29" s="1">
        <v>3</v>
      </c>
      <c r="F29" s="1" t="s">
        <v>9</v>
      </c>
      <c r="G29" s="2">
        <f t="shared" si="0"/>
        <v>2.72</v>
      </c>
      <c r="I29" s="1">
        <v>-1</v>
      </c>
      <c r="O29" s="1">
        <v>-0.7</v>
      </c>
      <c r="U29" s="1">
        <v>2</v>
      </c>
      <c r="W29" s="1">
        <v>-2</v>
      </c>
      <c r="Z29" s="1">
        <v>2</v>
      </c>
      <c r="AA29" s="1">
        <v>-2.6</v>
      </c>
      <c r="AC29" s="1">
        <v>2</v>
      </c>
      <c r="AF29" s="1">
        <v>-0.3</v>
      </c>
      <c r="AG29" s="1">
        <v>-0.7</v>
      </c>
      <c r="AI29" s="1">
        <v>-0.5</v>
      </c>
      <c r="AK29" s="1">
        <v>3</v>
      </c>
      <c r="AP29" s="1">
        <v>-2.4</v>
      </c>
      <c r="AR29" s="1">
        <v>2</v>
      </c>
      <c r="AS29" s="1">
        <v>-1.1000000000000001</v>
      </c>
      <c r="AW29" s="1">
        <v>0.7</v>
      </c>
      <c r="AX29" s="1">
        <v>-0.38</v>
      </c>
      <c r="AZ29" s="1">
        <v>-0.3</v>
      </c>
    </row>
    <row r="30" spans="1:53" s="1" customFormat="1" x14ac:dyDescent="0.35">
      <c r="A30" s="1">
        <v>1500</v>
      </c>
      <c r="B30" s="1">
        <f t="shared" si="1"/>
        <v>3000</v>
      </c>
      <c r="C30" s="1" t="s">
        <v>18</v>
      </c>
      <c r="D30" s="12" t="s">
        <v>23</v>
      </c>
      <c r="E30" s="1">
        <v>7</v>
      </c>
      <c r="F30" s="1" t="s">
        <v>12</v>
      </c>
      <c r="G30" s="2">
        <f t="shared" si="0"/>
        <v>2</v>
      </c>
      <c r="I30" s="1">
        <v>-7</v>
      </c>
      <c r="L30" s="1">
        <v>-2</v>
      </c>
      <c r="M30" s="1">
        <v>4</v>
      </c>
      <c r="Q30" s="1">
        <v>-2</v>
      </c>
      <c r="U30" s="1">
        <v>4</v>
      </c>
      <c r="Z30" s="1">
        <v>-3</v>
      </c>
      <c r="AC30" s="1">
        <v>3</v>
      </c>
      <c r="AE30" s="1">
        <v>-2</v>
      </c>
      <c r="AG30" s="1">
        <v>-2</v>
      </c>
      <c r="AH30" s="1">
        <v>2</v>
      </c>
      <c r="AI30" s="1">
        <v>-2</v>
      </c>
      <c r="AK30" s="1">
        <v>4</v>
      </c>
      <c r="AN30" s="1">
        <v>2</v>
      </c>
      <c r="AO30" s="1">
        <v>-1</v>
      </c>
      <c r="AR30" s="1">
        <v>-3</v>
      </c>
      <c r="AT30" s="1">
        <v>-2</v>
      </c>
      <c r="AU30" s="1">
        <v>6</v>
      </c>
      <c r="AV30" s="1">
        <v>-2</v>
      </c>
      <c r="AW30" s="1">
        <v>-3</v>
      </c>
      <c r="AX30" s="1">
        <v>2</v>
      </c>
      <c r="AY30" s="1">
        <v>2</v>
      </c>
      <c r="AZ30" s="1">
        <v>-3</v>
      </c>
    </row>
    <row r="31" spans="1:53" s="1" customFormat="1" x14ac:dyDescent="0.35">
      <c r="A31" s="1">
        <v>750</v>
      </c>
      <c r="B31" s="1">
        <f t="shared" si="1"/>
        <v>2625</v>
      </c>
      <c r="C31" s="1" t="s">
        <v>18</v>
      </c>
      <c r="D31" s="12" t="s">
        <v>31</v>
      </c>
      <c r="E31" s="1">
        <v>21.6</v>
      </c>
      <c r="F31" s="1" t="s">
        <v>9</v>
      </c>
      <c r="G31" s="2">
        <f t="shared" si="0"/>
        <v>3.5</v>
      </c>
      <c r="K31" s="1">
        <v>-0.5</v>
      </c>
      <c r="M31" s="1">
        <v>8.5</v>
      </c>
      <c r="P31" s="1">
        <v>-13</v>
      </c>
      <c r="V31" s="1">
        <v>-6</v>
      </c>
      <c r="Z31" s="1">
        <v>-6.2</v>
      </c>
      <c r="AF31" s="1">
        <v>-1.3</v>
      </c>
      <c r="AH31" s="1">
        <v>-2</v>
      </c>
      <c r="AK31" s="1">
        <v>4.4000000000000004</v>
      </c>
      <c r="AN31" s="1">
        <v>1.3</v>
      </c>
      <c r="AO31" s="1">
        <v>-0.8</v>
      </c>
      <c r="AQ31" s="1">
        <v>-2</v>
      </c>
      <c r="AR31" s="1">
        <v>-2</v>
      </c>
      <c r="AS31" s="1">
        <v>-1</v>
      </c>
      <c r="AT31" s="1">
        <v>3.3</v>
      </c>
      <c r="AW31" s="1">
        <v>-4</v>
      </c>
      <c r="AX31" s="1">
        <v>5.2</v>
      </c>
      <c r="AY31" s="1">
        <v>-5</v>
      </c>
      <c r="AZ31" s="1">
        <v>3</v>
      </c>
    </row>
    <row r="32" spans="1:53" s="1" customFormat="1" x14ac:dyDescent="0.35">
      <c r="A32" s="1">
        <v>7000</v>
      </c>
      <c r="B32" s="1">
        <f t="shared" si="1"/>
        <v>48999.999999999985</v>
      </c>
      <c r="C32" s="1" t="s">
        <v>18</v>
      </c>
      <c r="D32" s="12" t="s">
        <v>38</v>
      </c>
      <c r="E32" s="1">
        <v>9.5</v>
      </c>
      <c r="F32" s="1" t="s">
        <v>9</v>
      </c>
      <c r="G32" s="2">
        <f t="shared" si="0"/>
        <v>6.9999999999999982</v>
      </c>
      <c r="Q32" s="1">
        <v>-4.5</v>
      </c>
      <c r="X32" s="1">
        <v>-4</v>
      </c>
      <c r="Z32" s="1">
        <v>8</v>
      </c>
      <c r="AE32" s="1">
        <v>-0.5</v>
      </c>
      <c r="AF32" s="1">
        <v>-3.5</v>
      </c>
      <c r="AH32" s="1">
        <v>5</v>
      </c>
      <c r="AI32" s="1">
        <v>-6</v>
      </c>
      <c r="AK32" s="1">
        <v>7</v>
      </c>
      <c r="AN32" s="1">
        <v>-6</v>
      </c>
      <c r="AR32" s="1">
        <v>-4.3</v>
      </c>
      <c r="AT32" s="1">
        <v>5</v>
      </c>
      <c r="AX32" s="1">
        <v>-4</v>
      </c>
      <c r="AY32" s="1">
        <v>-0.3</v>
      </c>
      <c r="AZ32" s="1">
        <v>2.2000000000000002</v>
      </c>
      <c r="BA32" s="1">
        <v>3.4</v>
      </c>
    </row>
    <row r="33" spans="1:53" s="1" customFormat="1" x14ac:dyDescent="0.35">
      <c r="A33" s="1">
        <v>1800</v>
      </c>
      <c r="B33" s="1">
        <f t="shared" si="1"/>
        <v>6479.9999999999991</v>
      </c>
      <c r="C33" s="1" t="s">
        <v>15</v>
      </c>
      <c r="D33" s="12" t="s">
        <v>46</v>
      </c>
      <c r="E33" s="1">
        <v>10</v>
      </c>
      <c r="F33" s="1" t="s">
        <v>9</v>
      </c>
      <c r="G33" s="2">
        <f t="shared" si="0"/>
        <v>3.5999999999999996</v>
      </c>
      <c r="K33" s="1">
        <v>-4.9000000000000004</v>
      </c>
      <c r="L33" s="1">
        <v>-3.5</v>
      </c>
      <c r="M33" s="1">
        <v>3</v>
      </c>
      <c r="N33" s="1">
        <v>-1</v>
      </c>
      <c r="Q33" s="1">
        <v>2</v>
      </c>
      <c r="R33" s="1">
        <v>-3</v>
      </c>
      <c r="V33" s="1">
        <v>-2.6</v>
      </c>
      <c r="X33" s="1">
        <v>4</v>
      </c>
      <c r="Y33" s="1">
        <v>-0.6</v>
      </c>
      <c r="Z33" s="1">
        <v>-3.4</v>
      </c>
      <c r="AC33" s="1">
        <v>4</v>
      </c>
      <c r="AM33" s="1">
        <v>-3</v>
      </c>
      <c r="AN33" s="1">
        <v>4</v>
      </c>
      <c r="AP33" s="1">
        <v>-1.3</v>
      </c>
      <c r="AR33" s="1">
        <v>1</v>
      </c>
      <c r="AS33" s="1">
        <v>-0.9</v>
      </c>
      <c r="AT33" s="1">
        <v>0.8</v>
      </c>
      <c r="AX33" s="1">
        <v>-4.5999999999999996</v>
      </c>
      <c r="AZ33" s="1">
        <v>3.6</v>
      </c>
    </row>
    <row r="34" spans="1:53" s="1" customFormat="1" x14ac:dyDescent="0.35">
      <c r="A34" s="1">
        <v>1000</v>
      </c>
      <c r="B34" s="1">
        <f t="shared" si="1"/>
        <v>4000</v>
      </c>
      <c r="C34" s="1" t="s">
        <v>18</v>
      </c>
      <c r="D34" s="12" t="s">
        <v>35</v>
      </c>
      <c r="E34" s="1">
        <v>27</v>
      </c>
      <c r="F34" s="1" t="s">
        <v>12</v>
      </c>
      <c r="G34" s="2">
        <f t="shared" ref="G34:G59" si="2">+SUM(H34:XFD34,E34)</f>
        <v>4</v>
      </c>
      <c r="H34" s="1">
        <v>-1</v>
      </c>
      <c r="M34" s="1">
        <v>-14</v>
      </c>
      <c r="O34" s="1">
        <v>7</v>
      </c>
      <c r="X34" s="1">
        <v>10</v>
      </c>
      <c r="Z34" s="1">
        <v>-29</v>
      </c>
      <c r="AC34" s="1">
        <v>15</v>
      </c>
      <c r="AF34" s="1">
        <v>-6</v>
      </c>
      <c r="AG34" s="1">
        <v>-3</v>
      </c>
      <c r="AI34" s="1">
        <v>-2</v>
      </c>
      <c r="AK34" s="1">
        <v>10</v>
      </c>
      <c r="AP34" s="1">
        <v>-13</v>
      </c>
      <c r="AQ34" s="1">
        <v>-1</v>
      </c>
      <c r="AR34" s="1">
        <v>10</v>
      </c>
      <c r="AS34" s="1">
        <v>-7</v>
      </c>
      <c r="AT34" s="1">
        <v>-3</v>
      </c>
      <c r="AU34" s="1">
        <v>13</v>
      </c>
      <c r="AV34" s="1">
        <v>-3</v>
      </c>
      <c r="AW34" s="1">
        <v>-4</v>
      </c>
      <c r="AX34" s="1">
        <v>6</v>
      </c>
      <c r="AY34" s="1">
        <v>-5</v>
      </c>
      <c r="AZ34" s="1">
        <v>-3</v>
      </c>
    </row>
    <row r="35" spans="1:53" s="1" customFormat="1" x14ac:dyDescent="0.35">
      <c r="A35" s="1">
        <v>3500</v>
      </c>
      <c r="B35" s="1">
        <f t="shared" si="1"/>
        <v>14105</v>
      </c>
      <c r="C35" s="1" t="s">
        <v>18</v>
      </c>
      <c r="D35" s="12" t="s">
        <v>37</v>
      </c>
      <c r="E35" s="1">
        <v>2</v>
      </c>
      <c r="F35" s="1" t="s">
        <v>9</v>
      </c>
      <c r="G35" s="2">
        <f t="shared" si="2"/>
        <v>4.03</v>
      </c>
      <c r="J35" s="1">
        <v>3</v>
      </c>
      <c r="K35" s="1">
        <v>-5</v>
      </c>
      <c r="M35" s="1">
        <v>5</v>
      </c>
      <c r="AE35" s="1">
        <v>5</v>
      </c>
      <c r="AF35" s="1">
        <v>-1</v>
      </c>
      <c r="AI35" s="1">
        <v>-7.5</v>
      </c>
      <c r="AJ35" s="1">
        <v>5</v>
      </c>
      <c r="AP35" s="1">
        <v>-6.5</v>
      </c>
      <c r="AQ35" s="1">
        <v>-0.7</v>
      </c>
      <c r="AR35" s="1">
        <v>5</v>
      </c>
      <c r="AS35" s="1">
        <v>-2</v>
      </c>
      <c r="AT35" s="1">
        <v>-2.2999999999999998</v>
      </c>
      <c r="AU35" s="1">
        <v>5</v>
      </c>
      <c r="AV35" s="1">
        <v>-0.4</v>
      </c>
      <c r="AW35" s="1">
        <v>-0.56999999999999995</v>
      </c>
      <c r="AX35" s="1">
        <v>-0.5</v>
      </c>
      <c r="AY35" s="1">
        <v>-0.7</v>
      </c>
      <c r="AZ35" s="1">
        <v>1.2</v>
      </c>
    </row>
    <row r="36" spans="1:53" s="1" customFormat="1" x14ac:dyDescent="0.35">
      <c r="A36" s="1">
        <v>2200</v>
      </c>
      <c r="B36" s="1">
        <f t="shared" si="1"/>
        <v>9328.0000000000036</v>
      </c>
      <c r="C36" s="1" t="s">
        <v>15</v>
      </c>
      <c r="D36" s="12" t="s">
        <v>16</v>
      </c>
      <c r="E36" s="1">
        <v>14.8</v>
      </c>
      <c r="F36" s="1" t="s">
        <v>9</v>
      </c>
      <c r="G36" s="2">
        <f t="shared" si="2"/>
        <v>4.240000000000002</v>
      </c>
      <c r="I36" s="1">
        <v>-1.2</v>
      </c>
      <c r="L36" s="1">
        <v>-0.8</v>
      </c>
      <c r="N36" s="1">
        <v>-0.8</v>
      </c>
      <c r="S36" s="1">
        <v>-0.5</v>
      </c>
      <c r="V36" s="1">
        <v>-2.5</v>
      </c>
      <c r="Z36" s="1">
        <v>-1.5</v>
      </c>
      <c r="AA36" s="1">
        <v>-2.5</v>
      </c>
      <c r="AE36" s="1">
        <v>-1</v>
      </c>
      <c r="AI36" s="1">
        <v>-4</v>
      </c>
      <c r="AK36" s="1">
        <v>4.0999999999999996</v>
      </c>
      <c r="AN36" s="1">
        <v>2.2000000000000002</v>
      </c>
      <c r="AP36" s="1">
        <v>-5.0999999999999996</v>
      </c>
      <c r="AR36" s="1">
        <v>5</v>
      </c>
      <c r="AS36" s="1">
        <v>-1.5</v>
      </c>
      <c r="AU36" s="1">
        <v>-2.76</v>
      </c>
      <c r="AV36" s="1">
        <v>-0.7</v>
      </c>
      <c r="AW36" s="1">
        <v>4</v>
      </c>
      <c r="AX36" s="1">
        <v>2</v>
      </c>
      <c r="AY36" s="1">
        <v>-1</v>
      </c>
      <c r="AZ36" s="1">
        <v>-2</v>
      </c>
    </row>
    <row r="37" spans="1:53" s="1" customFormat="1" x14ac:dyDescent="0.35">
      <c r="A37" s="1">
        <v>1690</v>
      </c>
      <c r="B37" s="1">
        <f t="shared" si="1"/>
        <v>7300.7999999999975</v>
      </c>
      <c r="C37" s="1" t="s">
        <v>18</v>
      </c>
      <c r="D37" s="12" t="s">
        <v>44</v>
      </c>
      <c r="E37" s="1">
        <v>3.3</v>
      </c>
      <c r="F37" s="1" t="s">
        <v>9</v>
      </c>
      <c r="G37" s="2">
        <f t="shared" si="2"/>
        <v>4.3199999999999985</v>
      </c>
      <c r="I37" s="1">
        <v>5.8</v>
      </c>
      <c r="J37" s="1">
        <v>-0.6</v>
      </c>
      <c r="K37" s="1">
        <v>0.5</v>
      </c>
      <c r="M37" s="1">
        <v>4.5</v>
      </c>
      <c r="N37" s="1">
        <v>-10</v>
      </c>
      <c r="O37" s="1">
        <v>-0.2</v>
      </c>
      <c r="Z37" s="1">
        <v>-3</v>
      </c>
      <c r="AB37" s="1">
        <v>-0.3</v>
      </c>
      <c r="AC37" s="1">
        <v>6</v>
      </c>
      <c r="AD37" s="1">
        <v>-1.5</v>
      </c>
      <c r="AF37" s="1">
        <v>-2.2999999999999998</v>
      </c>
      <c r="AG37" s="1">
        <v>-0.9</v>
      </c>
      <c r="AH37" s="1">
        <v>4</v>
      </c>
      <c r="AI37" s="1">
        <v>-2.7</v>
      </c>
      <c r="AK37" s="1">
        <v>4</v>
      </c>
      <c r="AP37" s="1">
        <v>-0.6</v>
      </c>
      <c r="AR37" s="1">
        <v>6</v>
      </c>
      <c r="AS37" s="1">
        <v>-5.5</v>
      </c>
      <c r="AT37" s="1">
        <v>-3.7</v>
      </c>
      <c r="AW37" s="1">
        <v>-1.18</v>
      </c>
      <c r="AX37" s="1">
        <v>3.4</v>
      </c>
      <c r="AY37" s="1">
        <v>-0.7</v>
      </c>
    </row>
    <row r="38" spans="1:53" s="1" customFormat="1" x14ac:dyDescent="0.35">
      <c r="B38" s="1">
        <f t="shared" si="1"/>
        <v>0</v>
      </c>
      <c r="C38" s="1" t="s">
        <v>64</v>
      </c>
      <c r="D38" s="12" t="s">
        <v>61</v>
      </c>
      <c r="F38" s="1" t="s">
        <v>9</v>
      </c>
      <c r="G38" s="2">
        <f t="shared" si="2"/>
        <v>5</v>
      </c>
      <c r="W38" s="1">
        <v>6</v>
      </c>
      <c r="AI38" s="1">
        <v>-1</v>
      </c>
    </row>
    <row r="39" spans="1:53" s="1" customFormat="1" x14ac:dyDescent="0.35">
      <c r="A39" s="1">
        <v>5800</v>
      </c>
      <c r="B39" s="1">
        <f t="shared" si="1"/>
        <v>40600</v>
      </c>
      <c r="C39" s="1" t="s">
        <v>64</v>
      </c>
      <c r="D39" s="12" t="s">
        <v>63</v>
      </c>
      <c r="E39" s="1">
        <v>9</v>
      </c>
      <c r="F39" s="1" t="s">
        <v>9</v>
      </c>
      <c r="G39" s="2">
        <f t="shared" si="2"/>
        <v>7</v>
      </c>
      <c r="H39" s="1">
        <v>-2</v>
      </c>
      <c r="L39" s="1">
        <v>-2</v>
      </c>
      <c r="M39" s="1">
        <v>10</v>
      </c>
      <c r="O39" s="1">
        <v>-1</v>
      </c>
      <c r="R39" s="1">
        <v>-1</v>
      </c>
      <c r="U39" s="1">
        <v>-2</v>
      </c>
      <c r="W39" s="1">
        <v>-4</v>
      </c>
      <c r="Z39" s="1">
        <v>-1</v>
      </c>
      <c r="AA39" s="1">
        <v>8</v>
      </c>
      <c r="AB39" s="1">
        <v>-1</v>
      </c>
      <c r="AD39" s="1">
        <v>-2</v>
      </c>
      <c r="AE39" s="1">
        <v>-2</v>
      </c>
      <c r="AI39" s="1">
        <v>-1</v>
      </c>
      <c r="AJ39" s="1">
        <v>-2</v>
      </c>
      <c r="AK39" s="1">
        <v>5</v>
      </c>
      <c r="AM39" s="1">
        <v>-1</v>
      </c>
      <c r="AO39" s="1">
        <v>-1</v>
      </c>
      <c r="AP39" s="1">
        <v>-4</v>
      </c>
      <c r="AR39" s="1">
        <v>7</v>
      </c>
      <c r="AS39" s="1">
        <v>-1</v>
      </c>
      <c r="AT39" s="1">
        <v>-3</v>
      </c>
      <c r="AX39" s="1">
        <v>-3</v>
      </c>
      <c r="AZ39" s="1">
        <v>-4</v>
      </c>
      <c r="BA39" s="1">
        <v>6</v>
      </c>
    </row>
    <row r="40" spans="1:53" s="1" customFormat="1" x14ac:dyDescent="0.35">
      <c r="A40" s="1">
        <v>8000</v>
      </c>
      <c r="B40" s="1">
        <f t="shared" si="1"/>
        <v>8000</v>
      </c>
      <c r="C40" s="1" t="s">
        <v>18</v>
      </c>
      <c r="D40" s="12" t="s">
        <v>55</v>
      </c>
      <c r="F40" s="1" t="s">
        <v>12</v>
      </c>
      <c r="G40" s="2">
        <f t="shared" si="2"/>
        <v>1</v>
      </c>
      <c r="M40" s="1">
        <v>1</v>
      </c>
      <c r="S40" s="1">
        <v>-1</v>
      </c>
      <c r="U40" s="1">
        <v>1</v>
      </c>
      <c r="X40" s="1">
        <v>3</v>
      </c>
      <c r="Z40" s="1">
        <v>-4</v>
      </c>
      <c r="AC40" s="1">
        <v>1</v>
      </c>
      <c r="AF40" s="1">
        <v>-1</v>
      </c>
      <c r="AH40" s="1">
        <v>1</v>
      </c>
      <c r="AK40" s="1">
        <v>5</v>
      </c>
      <c r="AP40" s="1">
        <v>-5</v>
      </c>
      <c r="AV40" s="1">
        <v>3</v>
      </c>
      <c r="AX40" s="1">
        <v>-3</v>
      </c>
      <c r="AY40" s="1">
        <v>4</v>
      </c>
      <c r="AZ40" s="1">
        <v>-4</v>
      </c>
    </row>
    <row r="41" spans="1:53" s="1" customFormat="1" x14ac:dyDescent="0.35">
      <c r="A41" s="1">
        <v>2800</v>
      </c>
      <c r="B41" s="1">
        <f t="shared" si="1"/>
        <v>18200</v>
      </c>
      <c r="C41" s="1" t="s">
        <v>18</v>
      </c>
      <c r="D41" s="12" t="s">
        <v>8</v>
      </c>
      <c r="E41" s="1">
        <v>11</v>
      </c>
      <c r="F41" s="1" t="s">
        <v>9</v>
      </c>
      <c r="G41" s="2">
        <f t="shared" si="2"/>
        <v>6.5</v>
      </c>
      <c r="L41" s="1">
        <v>-11</v>
      </c>
      <c r="R41" s="1">
        <v>5</v>
      </c>
      <c r="S41" s="1">
        <v>-2</v>
      </c>
      <c r="Z41" s="1">
        <v>-3</v>
      </c>
      <c r="AC41" s="1">
        <v>3</v>
      </c>
      <c r="AD41" s="1">
        <v>-3</v>
      </c>
      <c r="AH41" s="1">
        <v>3</v>
      </c>
      <c r="AI41" s="1">
        <v>-3</v>
      </c>
      <c r="AK41" s="1">
        <v>5</v>
      </c>
      <c r="AL41" s="1">
        <v>-5</v>
      </c>
      <c r="AN41" s="1">
        <v>5</v>
      </c>
      <c r="AO41" s="1">
        <v>-5</v>
      </c>
      <c r="AP41" s="1">
        <v>4</v>
      </c>
      <c r="AR41" s="1">
        <v>-4</v>
      </c>
      <c r="AT41" s="1">
        <v>5</v>
      </c>
      <c r="AV41" s="1">
        <v>5</v>
      </c>
      <c r="AW41" s="1">
        <v>-5</v>
      </c>
      <c r="AX41" s="1">
        <v>-5</v>
      </c>
      <c r="AY41" s="1">
        <v>5</v>
      </c>
      <c r="AZ41" s="1">
        <v>1.5</v>
      </c>
    </row>
    <row r="42" spans="1:53" s="1" customFormat="1" x14ac:dyDescent="0.35">
      <c r="A42" s="1">
        <v>3800</v>
      </c>
      <c r="B42" s="1">
        <f t="shared" ref="B42:B59" si="3">+A42*G42</f>
        <v>19000</v>
      </c>
      <c r="C42" s="1" t="s">
        <v>18</v>
      </c>
      <c r="D42" s="12" t="s">
        <v>7</v>
      </c>
      <c r="E42" s="1">
        <v>11</v>
      </c>
      <c r="F42" s="1" t="s">
        <v>9</v>
      </c>
      <c r="G42" s="2">
        <f t="shared" si="2"/>
        <v>5</v>
      </c>
      <c r="L42" s="1">
        <v>-11</v>
      </c>
      <c r="R42" s="1">
        <v>5</v>
      </c>
      <c r="S42" s="1">
        <v>-2</v>
      </c>
      <c r="Z42" s="1">
        <v>-3</v>
      </c>
      <c r="AC42" s="1">
        <v>3</v>
      </c>
      <c r="AD42" s="1">
        <v>-3</v>
      </c>
      <c r="AH42" s="1">
        <v>3</v>
      </c>
      <c r="AI42" s="1">
        <v>-3</v>
      </c>
      <c r="AK42" s="1">
        <v>5</v>
      </c>
      <c r="AL42" s="1">
        <v>-5</v>
      </c>
      <c r="AN42" s="1">
        <v>5</v>
      </c>
      <c r="AO42" s="1">
        <v>-5</v>
      </c>
      <c r="AP42" s="1">
        <v>5</v>
      </c>
      <c r="AR42" s="1">
        <v>-5</v>
      </c>
      <c r="AT42" s="1">
        <v>5</v>
      </c>
      <c r="AV42" s="1">
        <v>5</v>
      </c>
      <c r="AX42" s="1">
        <v>-10</v>
      </c>
      <c r="AY42" s="1">
        <v>5</v>
      </c>
    </row>
    <row r="43" spans="1:53" s="1" customFormat="1" x14ac:dyDescent="0.35">
      <c r="A43" s="1">
        <v>6500</v>
      </c>
      <c r="B43" s="1">
        <f t="shared" si="3"/>
        <v>45500</v>
      </c>
      <c r="C43" s="1" t="s">
        <v>64</v>
      </c>
      <c r="D43" s="12" t="s">
        <v>57</v>
      </c>
      <c r="E43" s="1">
        <v>5</v>
      </c>
      <c r="F43" s="1" t="s">
        <v>9</v>
      </c>
      <c r="G43" s="2">
        <f t="shared" si="2"/>
        <v>7</v>
      </c>
      <c r="H43" s="1">
        <v>-1</v>
      </c>
      <c r="I43" s="1">
        <v>5</v>
      </c>
      <c r="L43" s="1">
        <v>-3</v>
      </c>
      <c r="M43" s="1">
        <v>10</v>
      </c>
      <c r="N43" s="1">
        <v>-2</v>
      </c>
      <c r="O43" s="1">
        <v>-3</v>
      </c>
      <c r="Q43" s="1">
        <v>-1</v>
      </c>
      <c r="U43" s="1">
        <v>-2</v>
      </c>
      <c r="V43" s="1">
        <v>4</v>
      </c>
      <c r="W43" s="1">
        <v>-4</v>
      </c>
      <c r="Z43" s="1">
        <v>-4</v>
      </c>
      <c r="AA43" s="1">
        <v>8</v>
      </c>
      <c r="AE43" s="1">
        <v>-3</v>
      </c>
      <c r="AI43" s="1">
        <v>-1</v>
      </c>
      <c r="AJ43" s="1">
        <v>-2</v>
      </c>
      <c r="AK43" s="1">
        <v>5</v>
      </c>
      <c r="AN43" s="1">
        <v>2</v>
      </c>
      <c r="AO43" s="1">
        <v>-3</v>
      </c>
      <c r="AP43" s="1">
        <v>-5</v>
      </c>
      <c r="AR43" s="1">
        <v>7</v>
      </c>
      <c r="AS43" s="1">
        <v>-2</v>
      </c>
      <c r="AT43" s="1">
        <v>-3</v>
      </c>
      <c r="AV43" s="1">
        <v>-3</v>
      </c>
      <c r="AW43" s="1">
        <v>-2</v>
      </c>
      <c r="AX43" s="1">
        <v>6</v>
      </c>
      <c r="AY43" s="1">
        <v>-2</v>
      </c>
      <c r="AZ43" s="1">
        <v>-5</v>
      </c>
      <c r="BA43" s="1">
        <v>6</v>
      </c>
    </row>
    <row r="44" spans="1:53" s="1" customFormat="1" x14ac:dyDescent="0.35">
      <c r="B44" s="1">
        <f t="shared" si="3"/>
        <v>0</v>
      </c>
      <c r="C44" s="1" t="s">
        <v>64</v>
      </c>
      <c r="D44" s="12" t="s">
        <v>60</v>
      </c>
      <c r="E44" s="1">
        <v>0</v>
      </c>
      <c r="F44" s="1" t="s">
        <v>9</v>
      </c>
      <c r="G44" s="2">
        <f t="shared" si="2"/>
        <v>7</v>
      </c>
      <c r="W44" s="1">
        <v>8</v>
      </c>
      <c r="AI44" s="1">
        <v>-1</v>
      </c>
    </row>
    <row r="45" spans="1:53" s="1" customFormat="1" x14ac:dyDescent="0.35">
      <c r="A45" s="1">
        <v>1300</v>
      </c>
      <c r="B45" s="1">
        <f t="shared" si="3"/>
        <v>9100</v>
      </c>
      <c r="C45" s="1" t="s">
        <v>15</v>
      </c>
      <c r="D45" s="12" t="s">
        <v>17</v>
      </c>
      <c r="E45" s="1">
        <v>7.2</v>
      </c>
      <c r="F45" s="1" t="s">
        <v>9</v>
      </c>
      <c r="G45" s="2">
        <f t="shared" si="2"/>
        <v>7</v>
      </c>
      <c r="H45" s="1">
        <v>-0.2</v>
      </c>
      <c r="N45" s="1">
        <v>-1.8</v>
      </c>
      <c r="O45" s="1">
        <v>-0.6</v>
      </c>
      <c r="P45" s="1">
        <v>-0.7</v>
      </c>
      <c r="S45" s="1">
        <v>-3.9</v>
      </c>
      <c r="U45" s="1">
        <v>5</v>
      </c>
      <c r="V45" s="1">
        <v>-2.2000000000000002</v>
      </c>
      <c r="X45" s="1">
        <v>3</v>
      </c>
      <c r="Z45" s="1">
        <v>-1.4</v>
      </c>
      <c r="AA45" s="1">
        <v>-3</v>
      </c>
      <c r="AC45" s="1">
        <v>3</v>
      </c>
      <c r="AD45" s="1">
        <v>-0.3</v>
      </c>
      <c r="AE45" s="1">
        <v>-0.8</v>
      </c>
      <c r="AF45" s="1">
        <v>-1.2</v>
      </c>
      <c r="AI45" s="1">
        <v>-1.1000000000000001</v>
      </c>
      <c r="AK45" s="1">
        <v>2</v>
      </c>
      <c r="AN45" s="1">
        <v>2.2999999999999998</v>
      </c>
      <c r="AP45" s="1">
        <v>-2.8</v>
      </c>
      <c r="AQ45" s="1">
        <v>-0.65</v>
      </c>
      <c r="AR45" s="1">
        <v>3.3</v>
      </c>
      <c r="AS45" s="1">
        <v>-3.3</v>
      </c>
      <c r="AT45" s="1">
        <v>2</v>
      </c>
      <c r="AU45" s="1">
        <v>-1.86</v>
      </c>
      <c r="AV45" s="1">
        <v>2</v>
      </c>
      <c r="AW45" s="1">
        <v>-2.2799999999999998</v>
      </c>
      <c r="AX45" s="1">
        <v>4</v>
      </c>
      <c r="AY45" s="1">
        <v>-5.71</v>
      </c>
      <c r="AZ45" s="1">
        <v>7</v>
      </c>
    </row>
    <row r="46" spans="1:53" s="1" customFormat="1" x14ac:dyDescent="0.35">
      <c r="B46" s="1">
        <f t="shared" si="3"/>
        <v>0</v>
      </c>
      <c r="C46" s="1" t="s">
        <v>15</v>
      </c>
      <c r="D46" s="12" t="s">
        <v>10</v>
      </c>
      <c r="E46" s="1">
        <v>7.5</v>
      </c>
      <c r="F46" s="1" t="s">
        <v>9</v>
      </c>
      <c r="G46" s="2">
        <f t="shared" si="2"/>
        <v>7</v>
      </c>
      <c r="Z46" s="1">
        <v>-0.5</v>
      </c>
    </row>
    <row r="47" spans="1:53" s="1" customFormat="1" x14ac:dyDescent="0.35">
      <c r="A47" s="1">
        <v>200</v>
      </c>
      <c r="B47" s="1">
        <f t="shared" si="3"/>
        <v>2000</v>
      </c>
      <c r="C47" s="1" t="s">
        <v>59</v>
      </c>
      <c r="D47" s="12" t="s">
        <v>11</v>
      </c>
      <c r="E47" s="1">
        <v>15</v>
      </c>
      <c r="F47" s="1" t="s">
        <v>12</v>
      </c>
      <c r="G47" s="2">
        <f t="shared" si="2"/>
        <v>10</v>
      </c>
      <c r="M47" s="1">
        <v>-5</v>
      </c>
      <c r="T47" s="1">
        <v>-2</v>
      </c>
      <c r="Z47" s="1">
        <v>-8</v>
      </c>
      <c r="AC47" s="1">
        <v>5</v>
      </c>
      <c r="AH47" s="1">
        <v>5</v>
      </c>
      <c r="AI47" s="1">
        <v>-3</v>
      </c>
      <c r="AR47" s="1">
        <v>-2</v>
      </c>
      <c r="AS47" s="1">
        <v>-1</v>
      </c>
      <c r="AT47" s="1">
        <v>4</v>
      </c>
      <c r="AW47" s="1">
        <v>-3</v>
      </c>
      <c r="AX47" s="1">
        <v>6</v>
      </c>
      <c r="AY47" s="1">
        <v>3</v>
      </c>
      <c r="AZ47" s="1">
        <v>-4</v>
      </c>
    </row>
    <row r="48" spans="1:53" s="1" customFormat="1" x14ac:dyDescent="0.35">
      <c r="A48" s="1">
        <v>4800</v>
      </c>
      <c r="B48" s="1">
        <f t="shared" si="3"/>
        <v>43200</v>
      </c>
      <c r="C48" s="1" t="s">
        <v>64</v>
      </c>
      <c r="D48" s="12" t="s">
        <v>56</v>
      </c>
      <c r="E48" s="1">
        <v>0</v>
      </c>
      <c r="F48" s="1" t="s">
        <v>9</v>
      </c>
      <c r="G48" s="2">
        <f t="shared" si="2"/>
        <v>9</v>
      </c>
      <c r="I48" s="1">
        <v>10</v>
      </c>
      <c r="K48" s="1">
        <v>-3</v>
      </c>
      <c r="L48" s="1">
        <v>-4</v>
      </c>
      <c r="M48" s="1">
        <v>10</v>
      </c>
      <c r="N48" s="1">
        <v>-1</v>
      </c>
      <c r="O48" s="1">
        <v>-3</v>
      </c>
      <c r="Q48" s="1">
        <v>-3</v>
      </c>
      <c r="R48" s="1">
        <v>-1</v>
      </c>
      <c r="S48" s="1">
        <v>-3</v>
      </c>
      <c r="T48" s="1">
        <v>3</v>
      </c>
      <c r="U48" s="1">
        <v>-5</v>
      </c>
      <c r="V48" s="1">
        <v>4</v>
      </c>
      <c r="W48" s="1">
        <v>-4</v>
      </c>
      <c r="X48" s="1">
        <v>5</v>
      </c>
      <c r="Y48" s="1">
        <v>-3</v>
      </c>
      <c r="Z48" s="1">
        <v>-6</v>
      </c>
      <c r="AA48" s="1">
        <v>10</v>
      </c>
      <c r="AC48" s="1">
        <v>6</v>
      </c>
      <c r="AD48" s="1">
        <v>-2</v>
      </c>
      <c r="AH48" s="1">
        <v>-3</v>
      </c>
      <c r="AI48" s="1">
        <v>-4</v>
      </c>
      <c r="AJ48" s="1">
        <v>-2</v>
      </c>
      <c r="AK48" s="1">
        <v>10</v>
      </c>
      <c r="AM48" s="1">
        <v>-3</v>
      </c>
      <c r="AN48" s="1">
        <v>5</v>
      </c>
      <c r="AO48" s="1">
        <v>-1</v>
      </c>
      <c r="AP48" s="1">
        <v>-4</v>
      </c>
      <c r="AR48" s="1">
        <v>5</v>
      </c>
      <c r="AS48" s="1">
        <v>-2</v>
      </c>
      <c r="AT48" s="1">
        <v>-5</v>
      </c>
      <c r="AV48" s="1">
        <v>-4</v>
      </c>
      <c r="AX48" s="1">
        <v>8</v>
      </c>
      <c r="AY48" s="1">
        <v>-2</v>
      </c>
      <c r="AZ48" s="1">
        <v>-5</v>
      </c>
      <c r="BA48" s="1">
        <v>6</v>
      </c>
    </row>
    <row r="49" spans="1:1477" s="1" customFormat="1" x14ac:dyDescent="0.35">
      <c r="A49" s="1">
        <v>1100</v>
      </c>
      <c r="B49" s="1">
        <f t="shared" si="3"/>
        <v>8800</v>
      </c>
      <c r="C49" s="1" t="s">
        <v>18</v>
      </c>
      <c r="D49" s="12" t="s">
        <v>36</v>
      </c>
      <c r="E49" s="1">
        <v>24</v>
      </c>
      <c r="F49" s="1" t="s">
        <v>12</v>
      </c>
      <c r="G49" s="2">
        <f t="shared" si="2"/>
        <v>8</v>
      </c>
      <c r="H49" s="1">
        <v>-1</v>
      </c>
      <c r="M49" s="1">
        <v>-10</v>
      </c>
      <c r="N49" s="1">
        <v>12</v>
      </c>
      <c r="X49" s="1">
        <v>10</v>
      </c>
      <c r="Z49" s="1">
        <v>-28</v>
      </c>
      <c r="AC49" s="1">
        <v>10</v>
      </c>
      <c r="AF49" s="1">
        <v>-3</v>
      </c>
      <c r="AG49" s="1">
        <v>-3</v>
      </c>
      <c r="AI49" s="1">
        <v>-5</v>
      </c>
      <c r="AK49" s="1">
        <v>10</v>
      </c>
      <c r="AP49" s="1">
        <v>-4</v>
      </c>
      <c r="AQ49" s="1">
        <v>-3</v>
      </c>
      <c r="AS49" s="1">
        <v>-3</v>
      </c>
      <c r="AT49" s="1">
        <v>-6</v>
      </c>
      <c r="AU49" s="1">
        <v>10</v>
      </c>
      <c r="AV49" s="1">
        <v>-3</v>
      </c>
      <c r="AW49" s="1">
        <v>-4</v>
      </c>
      <c r="AX49" s="1">
        <v>7</v>
      </c>
      <c r="AY49" s="1">
        <v>8</v>
      </c>
      <c r="AZ49" s="1">
        <v>-10</v>
      </c>
    </row>
    <row r="50" spans="1:1477" s="1" customFormat="1" x14ac:dyDescent="0.35">
      <c r="A50" s="1">
        <v>600</v>
      </c>
      <c r="B50" s="1">
        <f t="shared" si="3"/>
        <v>4800</v>
      </c>
      <c r="C50" s="1" t="s">
        <v>18</v>
      </c>
      <c r="D50" s="12" t="s">
        <v>33</v>
      </c>
      <c r="E50" s="1">
        <v>20</v>
      </c>
      <c r="F50" s="1" t="s">
        <v>12</v>
      </c>
      <c r="G50" s="2">
        <f t="shared" si="2"/>
        <v>8</v>
      </c>
      <c r="J50" s="1">
        <v>29</v>
      </c>
      <c r="Q50" s="1">
        <v>-29</v>
      </c>
      <c r="Z50" s="1">
        <v>-4</v>
      </c>
      <c r="AA50" s="1">
        <v>-6</v>
      </c>
      <c r="AC50" s="1">
        <v>10</v>
      </c>
      <c r="AG50" s="1">
        <v>-3</v>
      </c>
      <c r="AI50" s="1">
        <v>-17</v>
      </c>
      <c r="AK50" s="1">
        <v>15</v>
      </c>
      <c r="AN50" s="1">
        <v>5</v>
      </c>
      <c r="AP50" s="1">
        <v>-5</v>
      </c>
      <c r="AQ50" s="1">
        <v>-10</v>
      </c>
      <c r="AR50" s="1">
        <v>10</v>
      </c>
      <c r="AS50" s="1">
        <v>-4</v>
      </c>
      <c r="AT50" s="1">
        <v>-2</v>
      </c>
      <c r="AU50" s="1">
        <v>6</v>
      </c>
      <c r="AV50" s="1">
        <v>-3</v>
      </c>
      <c r="AW50" s="1">
        <v>-4</v>
      </c>
      <c r="AX50" s="1">
        <v>8</v>
      </c>
      <c r="AY50" s="1">
        <v>-5</v>
      </c>
      <c r="AZ50" s="1">
        <v>-3</v>
      </c>
    </row>
    <row r="51" spans="1:1477" s="1" customFormat="1" x14ac:dyDescent="0.35">
      <c r="A51" s="1">
        <v>600</v>
      </c>
      <c r="B51" s="1">
        <f t="shared" si="3"/>
        <v>4800</v>
      </c>
      <c r="C51" s="1" t="s">
        <v>18</v>
      </c>
      <c r="D51" s="12" t="s">
        <v>32</v>
      </c>
      <c r="E51" s="1">
        <v>8.5</v>
      </c>
      <c r="F51" s="1" t="s">
        <v>12</v>
      </c>
      <c r="G51" s="2">
        <f t="shared" si="2"/>
        <v>8</v>
      </c>
      <c r="M51" s="1">
        <v>-0.5</v>
      </c>
      <c r="P51" s="1">
        <v>-8</v>
      </c>
      <c r="R51" s="1">
        <v>20</v>
      </c>
      <c r="Z51" s="1">
        <v>-13</v>
      </c>
      <c r="AC51" s="1">
        <v>10</v>
      </c>
      <c r="AF51" s="1">
        <v>-4</v>
      </c>
      <c r="AG51" s="1">
        <v>-3</v>
      </c>
      <c r="AI51" s="1">
        <v>-10</v>
      </c>
      <c r="AK51" s="1">
        <v>15</v>
      </c>
      <c r="AN51" s="1">
        <v>7</v>
      </c>
      <c r="AP51" s="1">
        <v>-6</v>
      </c>
      <c r="AQ51" s="1">
        <v>-10</v>
      </c>
      <c r="AR51" s="1">
        <v>9</v>
      </c>
      <c r="AS51" s="1">
        <v>-3</v>
      </c>
      <c r="AT51" s="1">
        <v>-2</v>
      </c>
      <c r="AU51" s="1">
        <v>7</v>
      </c>
      <c r="AV51" s="1">
        <v>-3</v>
      </c>
      <c r="AW51" s="1">
        <v>-4</v>
      </c>
      <c r="AX51" s="1">
        <v>6</v>
      </c>
      <c r="AY51" s="1">
        <v>-5</v>
      </c>
      <c r="AZ51" s="1">
        <v>-3</v>
      </c>
    </row>
    <row r="52" spans="1:1477" x14ac:dyDescent="0.35">
      <c r="A52" s="1">
        <v>600</v>
      </c>
      <c r="B52" s="1">
        <f t="shared" si="3"/>
        <v>6000</v>
      </c>
      <c r="C52" s="1" t="s">
        <v>18</v>
      </c>
      <c r="D52" s="12" t="s">
        <v>22</v>
      </c>
      <c r="E52" s="1">
        <v>8</v>
      </c>
      <c r="F52" s="1" t="s">
        <v>12</v>
      </c>
      <c r="G52" s="2">
        <f t="shared" si="2"/>
        <v>10</v>
      </c>
      <c r="H52" s="1"/>
      <c r="I52" s="1"/>
      <c r="J52" s="1"/>
      <c r="K52" s="1"/>
      <c r="L52" s="1">
        <v>-3</v>
      </c>
      <c r="M52" s="1"/>
      <c r="N52" s="1"/>
      <c r="O52" s="1"/>
      <c r="P52" s="1"/>
      <c r="Q52" s="1"/>
      <c r="R52" s="1"/>
      <c r="S52" s="1">
        <v>-3</v>
      </c>
      <c r="T52" s="1"/>
      <c r="U52" s="1">
        <v>6</v>
      </c>
      <c r="V52" s="1"/>
      <c r="W52" s="1"/>
      <c r="X52" s="1"/>
      <c r="Y52" s="1"/>
      <c r="Z52" s="1">
        <v>-1</v>
      </c>
      <c r="AA52" s="1"/>
      <c r="AB52" s="1"/>
      <c r="AC52" s="1"/>
      <c r="AD52" s="1"/>
      <c r="AE52" s="1">
        <v>-2</v>
      </c>
      <c r="AF52" s="1"/>
      <c r="AG52" s="1"/>
      <c r="AH52" s="1">
        <v>5</v>
      </c>
      <c r="AI52" s="1">
        <v>-3</v>
      </c>
      <c r="AJ52" s="1"/>
      <c r="AK52" s="1"/>
      <c r="AL52" s="1"/>
      <c r="AM52" s="1"/>
      <c r="AN52" s="1">
        <v>3</v>
      </c>
      <c r="AO52" s="1"/>
      <c r="AP52" s="1">
        <v>-1</v>
      </c>
      <c r="AQ52" s="1"/>
      <c r="AR52" s="1">
        <v>3</v>
      </c>
      <c r="AS52" s="1">
        <v>-2</v>
      </c>
      <c r="AT52" s="1">
        <v>-2</v>
      </c>
      <c r="AU52" s="1"/>
      <c r="AV52" s="1"/>
      <c r="AW52" s="1">
        <v>-1</v>
      </c>
      <c r="AX52" s="1">
        <v>2</v>
      </c>
      <c r="AY52" s="1">
        <v>1</v>
      </c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  <c r="PL52" s="1"/>
      <c r="PM52" s="1"/>
      <c r="PN52" s="1"/>
      <c r="PO52" s="1"/>
      <c r="PP52" s="1"/>
      <c r="PQ52" s="1"/>
      <c r="PR52" s="1"/>
      <c r="PS52" s="1"/>
      <c r="PT52" s="1"/>
      <c r="PU52" s="1"/>
      <c r="PV52" s="1"/>
      <c r="PW52" s="1"/>
      <c r="PX52" s="1"/>
      <c r="PY52" s="1"/>
      <c r="PZ52" s="1"/>
      <c r="QA52" s="1"/>
      <c r="QB52" s="1"/>
      <c r="QC52" s="1"/>
      <c r="QD52" s="1"/>
      <c r="QE52" s="1"/>
      <c r="QF52" s="1"/>
      <c r="QG52" s="1"/>
      <c r="QH52" s="1"/>
      <c r="QI52" s="1"/>
      <c r="QJ52" s="1"/>
      <c r="QK52" s="1"/>
      <c r="QL52" s="1"/>
      <c r="QM52" s="1"/>
      <c r="QN52" s="1"/>
      <c r="QO52" s="1"/>
      <c r="QP52" s="1"/>
      <c r="QQ52" s="1"/>
      <c r="QR52" s="1"/>
      <c r="QS52" s="1"/>
      <c r="QT52" s="1"/>
      <c r="QU52" s="1"/>
      <c r="QV52" s="1"/>
      <c r="QW52" s="1"/>
      <c r="QX52" s="1"/>
      <c r="QY52" s="1"/>
      <c r="QZ52" s="1"/>
      <c r="RA52" s="1"/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  <c r="RW52" s="1"/>
      <c r="RX52" s="1"/>
      <c r="RY52" s="1"/>
      <c r="RZ52" s="1"/>
      <c r="SA52" s="1"/>
      <c r="SB52" s="1"/>
      <c r="SC52" s="1"/>
      <c r="SD52" s="1"/>
      <c r="SE52" s="1"/>
      <c r="SF52" s="1"/>
      <c r="SG52" s="1"/>
      <c r="SH52" s="1"/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/>
      <c r="ST52" s="1"/>
      <c r="SU52" s="1"/>
      <c r="SV52" s="1"/>
      <c r="SW52" s="1"/>
      <c r="SX52" s="1"/>
      <c r="SY52" s="1"/>
      <c r="SZ52" s="1"/>
      <c r="TA52" s="1"/>
      <c r="TB52" s="1"/>
      <c r="TC52" s="1"/>
      <c r="TD52" s="1"/>
      <c r="TE52" s="1"/>
      <c r="TF52" s="1"/>
      <c r="TG52" s="1"/>
      <c r="TH52" s="1"/>
      <c r="TI52" s="1"/>
      <c r="TJ52" s="1"/>
      <c r="TK52" s="1"/>
      <c r="TL52" s="1"/>
      <c r="TM52" s="1"/>
      <c r="TN52" s="1"/>
      <c r="TO52" s="1"/>
      <c r="TP52" s="1"/>
      <c r="TQ52" s="1"/>
      <c r="TR52" s="1"/>
      <c r="TS52" s="1"/>
      <c r="TT52" s="1"/>
      <c r="TU52" s="1"/>
      <c r="TV52" s="1"/>
      <c r="TW52" s="1"/>
      <c r="TX52" s="1"/>
      <c r="TY52" s="1"/>
      <c r="TZ52" s="1"/>
      <c r="UA52" s="1"/>
      <c r="UB52" s="1"/>
      <c r="UC52" s="1"/>
      <c r="UD52" s="1"/>
      <c r="UE52" s="1"/>
      <c r="UF52" s="1"/>
      <c r="UG52" s="1"/>
      <c r="UH52" s="1"/>
      <c r="UI52" s="1"/>
      <c r="UJ52" s="1"/>
      <c r="UK52" s="1"/>
      <c r="UL52" s="1"/>
      <c r="UM52" s="1"/>
      <c r="UN52" s="1"/>
      <c r="UO52" s="1"/>
      <c r="UP52" s="1"/>
      <c r="UQ52" s="1"/>
      <c r="UR52" s="1"/>
      <c r="US52" s="1"/>
      <c r="UT52" s="1"/>
      <c r="UU52" s="1"/>
      <c r="UV52" s="1"/>
      <c r="UW52" s="1"/>
      <c r="UX52" s="1"/>
      <c r="UY52" s="1"/>
      <c r="UZ52" s="1"/>
      <c r="VA52" s="1"/>
      <c r="VB52" s="1"/>
      <c r="VC52" s="1"/>
      <c r="VD52" s="1"/>
      <c r="VE52" s="1"/>
      <c r="VF52" s="1"/>
      <c r="VG52" s="1"/>
      <c r="VH52" s="1"/>
      <c r="VI52" s="1"/>
      <c r="VJ52" s="1"/>
      <c r="VK52" s="1"/>
      <c r="VL52" s="1"/>
      <c r="VM52" s="1"/>
      <c r="VN52" s="1"/>
      <c r="VO52" s="1"/>
      <c r="VP52" s="1"/>
      <c r="VQ52" s="1"/>
      <c r="VR52" s="1"/>
      <c r="VS52" s="1"/>
      <c r="VT52" s="1"/>
      <c r="VU52" s="1"/>
      <c r="VV52" s="1"/>
      <c r="VW52" s="1"/>
      <c r="VX52" s="1"/>
      <c r="VY52" s="1"/>
      <c r="VZ52" s="1"/>
      <c r="WA52" s="1"/>
      <c r="WB52" s="1"/>
      <c r="WC52" s="1"/>
      <c r="WD52" s="1"/>
      <c r="WE52" s="1"/>
      <c r="WF52" s="1"/>
      <c r="WG52" s="1"/>
      <c r="WH52" s="1"/>
      <c r="WI52" s="1"/>
      <c r="WJ52" s="1"/>
      <c r="WK52" s="1"/>
      <c r="WL52" s="1"/>
      <c r="WM52" s="1"/>
      <c r="WN52" s="1"/>
      <c r="WO52" s="1"/>
      <c r="WP52" s="1"/>
      <c r="WQ52" s="1"/>
      <c r="WR52" s="1"/>
      <c r="WS52" s="1"/>
      <c r="WT52" s="1"/>
      <c r="WU52" s="1"/>
      <c r="WV52" s="1"/>
      <c r="WW52" s="1"/>
      <c r="WX52" s="1"/>
      <c r="WY52" s="1"/>
      <c r="WZ52" s="1"/>
      <c r="XA52" s="1"/>
      <c r="XB52" s="1"/>
      <c r="XC52" s="1"/>
      <c r="XD52" s="1"/>
      <c r="XE52" s="1"/>
      <c r="XF52" s="1"/>
      <c r="XG52" s="1"/>
      <c r="XH52" s="1"/>
      <c r="XI52" s="1"/>
      <c r="XJ52" s="1"/>
      <c r="XK52" s="1"/>
      <c r="XL52" s="1"/>
      <c r="XM52" s="1"/>
      <c r="XN52" s="1"/>
      <c r="XO52" s="1"/>
      <c r="XP52" s="1"/>
      <c r="XQ52" s="1"/>
      <c r="XR52" s="1"/>
      <c r="XS52" s="1"/>
      <c r="XT52" s="1"/>
      <c r="XU52" s="1"/>
      <c r="XV52" s="1"/>
      <c r="XW52" s="1"/>
      <c r="XX52" s="1"/>
      <c r="XY52" s="1"/>
      <c r="XZ52" s="1"/>
      <c r="YA52" s="1"/>
      <c r="YB52" s="1"/>
      <c r="YC52" s="1"/>
      <c r="YD52" s="1"/>
      <c r="YE52" s="1"/>
      <c r="YF52" s="1"/>
      <c r="YG52" s="1"/>
      <c r="YH52" s="1"/>
      <c r="YI52" s="1"/>
      <c r="YJ52" s="1"/>
      <c r="YK52" s="1"/>
      <c r="YL52" s="1"/>
      <c r="YM52" s="1"/>
      <c r="YN52" s="1"/>
      <c r="YO52" s="1"/>
      <c r="YP52" s="1"/>
      <c r="YQ52" s="1"/>
      <c r="YR52" s="1"/>
      <c r="YS52" s="1"/>
      <c r="YT52" s="1"/>
      <c r="YU52" s="1"/>
      <c r="YV52" s="1"/>
      <c r="YW52" s="1"/>
      <c r="YX52" s="1"/>
      <c r="YY52" s="1"/>
      <c r="YZ52" s="1"/>
      <c r="ZA52" s="1"/>
      <c r="ZB52" s="1"/>
      <c r="ZC52" s="1"/>
      <c r="ZD52" s="1"/>
      <c r="ZE52" s="1"/>
      <c r="ZF52" s="1"/>
      <c r="ZG52" s="1"/>
      <c r="ZH52" s="1"/>
      <c r="ZI52" s="1"/>
      <c r="ZJ52" s="1"/>
      <c r="ZK52" s="1"/>
      <c r="ZL52" s="1"/>
      <c r="ZM52" s="1"/>
      <c r="ZN52" s="1"/>
      <c r="ZO52" s="1"/>
      <c r="ZP52" s="1"/>
      <c r="ZQ52" s="1"/>
      <c r="ZR52" s="1"/>
      <c r="ZS52" s="1"/>
      <c r="ZT52" s="1"/>
      <c r="ZU52" s="1"/>
      <c r="ZV52" s="1"/>
      <c r="ZW52" s="1"/>
      <c r="ZX52" s="1"/>
      <c r="ZY52" s="1"/>
      <c r="ZZ52" s="1"/>
      <c r="AAA52" s="1"/>
      <c r="AAB52" s="1"/>
      <c r="AAC52" s="1"/>
      <c r="AAD52" s="1"/>
      <c r="AAE52" s="1"/>
      <c r="AAF52" s="1"/>
      <c r="AAG52" s="1"/>
      <c r="AAH52" s="1"/>
      <c r="AAI52" s="1"/>
      <c r="AAJ52" s="1"/>
      <c r="AAK52" s="1"/>
      <c r="AAL52" s="1"/>
      <c r="AAM52" s="1"/>
      <c r="AAN52" s="1"/>
      <c r="AAO52" s="1"/>
      <c r="AAP52" s="1"/>
      <c r="AAQ52" s="1"/>
      <c r="AAR52" s="1"/>
      <c r="AAS52" s="1"/>
      <c r="AAT52" s="1"/>
      <c r="AAU52" s="1"/>
      <c r="AAV52" s="1"/>
      <c r="AAW52" s="1"/>
      <c r="AAX52" s="1"/>
      <c r="AAY52" s="1"/>
      <c r="AAZ52" s="1"/>
      <c r="ABA52" s="1"/>
      <c r="ABB52" s="1"/>
      <c r="ABC52" s="1"/>
      <c r="ABD52" s="1"/>
      <c r="ABE52" s="1"/>
      <c r="ABF52" s="1"/>
      <c r="ABG52" s="1"/>
      <c r="ABH52" s="1"/>
      <c r="ABI52" s="1"/>
      <c r="ABJ52" s="1"/>
      <c r="ABK52" s="1"/>
      <c r="ABL52" s="1"/>
      <c r="ABM52" s="1"/>
      <c r="ABN52" s="1"/>
      <c r="ABO52" s="1"/>
      <c r="ABP52" s="1"/>
      <c r="ABQ52" s="1"/>
      <c r="ABR52" s="1"/>
      <c r="ABS52" s="1"/>
      <c r="ABT52" s="1"/>
      <c r="ABU52" s="1"/>
      <c r="ABV52" s="1"/>
      <c r="ABW52" s="1"/>
      <c r="ABX52" s="1"/>
      <c r="ABY52" s="1"/>
      <c r="ABZ52" s="1"/>
      <c r="ACA52" s="1"/>
      <c r="ACB52" s="1"/>
      <c r="ACC52" s="1"/>
      <c r="ACD52" s="1"/>
      <c r="ACE52" s="1"/>
      <c r="ACF52" s="1"/>
      <c r="ACG52" s="1"/>
      <c r="ACH52" s="1"/>
      <c r="ACI52" s="1"/>
      <c r="ACJ52" s="1"/>
      <c r="ACK52" s="1"/>
      <c r="ACL52" s="1"/>
      <c r="ACM52" s="1"/>
      <c r="ACN52" s="1"/>
      <c r="ACO52" s="1"/>
      <c r="ACP52" s="1"/>
      <c r="ACQ52" s="1"/>
      <c r="ACR52" s="1"/>
      <c r="ACS52" s="1"/>
      <c r="ACT52" s="1"/>
      <c r="ACU52" s="1"/>
      <c r="ACV52" s="1"/>
      <c r="ACW52" s="1"/>
      <c r="ACX52" s="1"/>
      <c r="ACY52" s="1"/>
      <c r="ACZ52" s="1"/>
      <c r="ADA52" s="1"/>
      <c r="ADB52" s="1"/>
      <c r="ADC52" s="1"/>
      <c r="ADD52" s="1"/>
      <c r="ADE52" s="1"/>
      <c r="ADF52" s="1"/>
      <c r="ADG52" s="1"/>
      <c r="ADH52" s="1"/>
      <c r="ADI52" s="1"/>
      <c r="ADJ52" s="1"/>
      <c r="ADK52" s="1"/>
      <c r="ADL52" s="1"/>
      <c r="ADM52" s="1"/>
      <c r="ADN52" s="1"/>
      <c r="ADO52" s="1"/>
      <c r="ADP52" s="1"/>
      <c r="ADQ52" s="1"/>
      <c r="ADR52" s="1"/>
      <c r="ADS52" s="1"/>
      <c r="ADT52" s="1"/>
      <c r="ADU52" s="1"/>
      <c r="ADV52" s="1"/>
      <c r="ADW52" s="1"/>
      <c r="ADX52" s="1"/>
      <c r="ADY52" s="1"/>
      <c r="ADZ52" s="1"/>
      <c r="AEA52" s="1"/>
      <c r="AEB52" s="1"/>
      <c r="AEC52" s="1"/>
      <c r="AED52" s="1"/>
      <c r="AEE52" s="1"/>
      <c r="AEF52" s="1"/>
      <c r="AEG52" s="1"/>
      <c r="AEH52" s="1"/>
      <c r="AEI52" s="1"/>
      <c r="AEJ52" s="1"/>
      <c r="AEK52" s="1"/>
      <c r="AEL52" s="1"/>
      <c r="AEM52" s="1"/>
      <c r="AEN52" s="1"/>
      <c r="AEO52" s="1"/>
      <c r="AEP52" s="1"/>
      <c r="AEQ52" s="1"/>
      <c r="AER52" s="1"/>
      <c r="AES52" s="1"/>
      <c r="AET52" s="1"/>
      <c r="AEU52" s="1"/>
      <c r="AEV52" s="1"/>
      <c r="AEW52" s="1"/>
      <c r="AEX52" s="1"/>
      <c r="AEY52" s="1"/>
      <c r="AEZ52" s="1"/>
      <c r="AFA52" s="1"/>
      <c r="AFB52" s="1"/>
      <c r="AFC52" s="1"/>
      <c r="AFD52" s="1"/>
      <c r="AFE52" s="1"/>
      <c r="AFF52" s="1"/>
      <c r="AFG52" s="1"/>
      <c r="AFH52" s="1"/>
      <c r="AFI52" s="1"/>
      <c r="AFJ52" s="1"/>
      <c r="AFK52" s="1"/>
      <c r="AFL52" s="1"/>
      <c r="AFM52" s="1"/>
      <c r="AFN52" s="1"/>
      <c r="AFO52" s="1"/>
      <c r="AFP52" s="1"/>
      <c r="AFQ52" s="1"/>
      <c r="AFR52" s="1"/>
      <c r="AFS52" s="1"/>
      <c r="AFT52" s="1"/>
      <c r="AFU52" s="1"/>
      <c r="AFV52" s="1"/>
      <c r="AFW52" s="1"/>
      <c r="AFX52" s="1"/>
      <c r="AFY52" s="1"/>
      <c r="AFZ52" s="1"/>
      <c r="AGA52" s="1"/>
      <c r="AGB52" s="1"/>
      <c r="AGC52" s="1"/>
      <c r="AGD52" s="1"/>
      <c r="AGE52" s="1"/>
      <c r="AGF52" s="1"/>
      <c r="AGG52" s="1"/>
      <c r="AGH52" s="1"/>
      <c r="AGI52" s="1"/>
      <c r="AGJ52" s="1"/>
      <c r="AGK52" s="1"/>
      <c r="AGL52" s="1"/>
      <c r="AGM52" s="1"/>
      <c r="AGN52" s="1"/>
      <c r="AGO52" s="1"/>
      <c r="AGP52" s="1"/>
      <c r="AGQ52" s="1"/>
      <c r="AGR52" s="1"/>
      <c r="AGS52" s="1"/>
      <c r="AGT52" s="1"/>
      <c r="AGU52" s="1"/>
      <c r="AGV52" s="1"/>
      <c r="AGW52" s="1"/>
      <c r="AGX52" s="1"/>
      <c r="AGY52" s="1"/>
      <c r="AGZ52" s="1"/>
      <c r="AHA52" s="1"/>
      <c r="AHB52" s="1"/>
      <c r="AHC52" s="1"/>
      <c r="AHD52" s="1"/>
      <c r="AHE52" s="1"/>
      <c r="AHF52" s="1"/>
      <c r="AHG52" s="1"/>
      <c r="AHH52" s="1"/>
      <c r="AHI52" s="1"/>
      <c r="AHJ52" s="1"/>
      <c r="AHK52" s="1"/>
      <c r="AHL52" s="1"/>
      <c r="AHM52" s="1"/>
      <c r="AHN52" s="1"/>
      <c r="AHO52" s="1"/>
      <c r="AHP52" s="1"/>
      <c r="AHQ52" s="1"/>
      <c r="AHR52" s="1"/>
      <c r="AHS52" s="1"/>
      <c r="AHT52" s="1"/>
      <c r="AHU52" s="1"/>
      <c r="AHV52" s="1"/>
      <c r="AHW52" s="1"/>
      <c r="AHX52" s="1"/>
      <c r="AHY52" s="1"/>
      <c r="AHZ52" s="1"/>
      <c r="AIA52" s="1"/>
      <c r="AIB52" s="1"/>
      <c r="AIC52" s="1"/>
      <c r="AID52" s="1"/>
      <c r="AIE52" s="1"/>
      <c r="AIF52" s="1"/>
      <c r="AIG52" s="1"/>
      <c r="AIH52" s="1"/>
      <c r="AII52" s="1"/>
      <c r="AIJ52" s="1"/>
      <c r="AIK52" s="1"/>
      <c r="AIL52" s="1"/>
      <c r="AIM52" s="1"/>
      <c r="AIN52" s="1"/>
      <c r="AIO52" s="1"/>
      <c r="AIP52" s="1"/>
      <c r="AIQ52" s="1"/>
      <c r="AIR52" s="1"/>
      <c r="AIS52" s="1"/>
      <c r="AIT52" s="1"/>
      <c r="AIU52" s="1"/>
      <c r="AIV52" s="1"/>
      <c r="AIW52" s="1"/>
      <c r="AIX52" s="1"/>
      <c r="AIY52" s="1"/>
      <c r="AIZ52" s="1"/>
      <c r="AJA52" s="1"/>
      <c r="AJB52" s="1"/>
      <c r="AJC52" s="1"/>
      <c r="AJD52" s="1"/>
      <c r="AJE52" s="1"/>
      <c r="AJF52" s="1"/>
      <c r="AJG52" s="1"/>
      <c r="AJH52" s="1"/>
      <c r="AJI52" s="1"/>
      <c r="AJJ52" s="1"/>
      <c r="AJK52" s="1"/>
      <c r="AJL52" s="1"/>
      <c r="AJM52" s="1"/>
      <c r="AJN52" s="1"/>
      <c r="AJO52" s="1"/>
      <c r="AJP52" s="1"/>
      <c r="AJQ52" s="1"/>
      <c r="AJR52" s="1"/>
      <c r="AJS52" s="1"/>
      <c r="AJT52" s="1"/>
      <c r="AJU52" s="1"/>
      <c r="AJV52" s="1"/>
      <c r="AJW52" s="1"/>
      <c r="AJX52" s="1"/>
      <c r="AJY52" s="1"/>
      <c r="AJZ52" s="1"/>
      <c r="AKA52" s="1"/>
      <c r="AKB52" s="1"/>
      <c r="AKC52" s="1"/>
      <c r="AKD52" s="1"/>
      <c r="AKE52" s="1"/>
      <c r="AKF52" s="1"/>
      <c r="AKG52" s="1"/>
      <c r="AKH52" s="1"/>
      <c r="AKI52" s="1"/>
      <c r="AKJ52" s="1"/>
      <c r="AKK52" s="1"/>
      <c r="AKL52" s="1"/>
      <c r="AKM52" s="1"/>
      <c r="AKN52" s="1"/>
      <c r="AKO52" s="1"/>
      <c r="AKP52" s="1"/>
      <c r="AKQ52" s="1"/>
      <c r="AKR52" s="1"/>
      <c r="AKS52" s="1"/>
      <c r="AKT52" s="1"/>
      <c r="AKU52" s="1"/>
      <c r="AKV52" s="1"/>
      <c r="AKW52" s="1"/>
      <c r="AKX52" s="1"/>
      <c r="AKY52" s="1"/>
      <c r="AKZ52" s="1"/>
      <c r="ALA52" s="1"/>
      <c r="ALB52" s="1"/>
      <c r="ALC52" s="1"/>
      <c r="ALD52" s="1"/>
      <c r="ALE52" s="1"/>
      <c r="ALF52" s="1"/>
      <c r="ALG52" s="1"/>
      <c r="ALH52" s="1"/>
      <c r="ALI52" s="1"/>
      <c r="ALJ52" s="1"/>
      <c r="ALK52" s="1"/>
      <c r="ALL52" s="1"/>
      <c r="ALM52" s="1"/>
      <c r="ALN52" s="1"/>
      <c r="ALO52" s="1"/>
      <c r="ALP52" s="1"/>
      <c r="ALQ52" s="1"/>
      <c r="ALR52" s="1"/>
      <c r="ALS52" s="1"/>
      <c r="ALT52" s="1"/>
      <c r="ALU52" s="1"/>
      <c r="ALV52" s="1"/>
      <c r="ALW52" s="1"/>
      <c r="ALX52" s="1"/>
      <c r="ALY52" s="1"/>
      <c r="ALZ52" s="1"/>
      <c r="AMA52" s="1"/>
      <c r="AMB52" s="1"/>
      <c r="AMC52" s="1"/>
      <c r="AMD52" s="1"/>
      <c r="AME52" s="1"/>
      <c r="AMF52" s="1"/>
      <c r="AMG52" s="1"/>
      <c r="AMH52" s="1"/>
      <c r="AMI52" s="1"/>
      <c r="AMJ52" s="1"/>
      <c r="AMK52" s="1"/>
      <c r="AML52" s="1"/>
      <c r="AMM52" s="1"/>
      <c r="AMN52" s="1"/>
      <c r="AMO52" s="1"/>
      <c r="AMP52" s="1"/>
      <c r="AMQ52" s="1"/>
      <c r="AMR52" s="1"/>
      <c r="AMS52" s="1"/>
      <c r="AMT52" s="1"/>
      <c r="AMU52" s="1"/>
      <c r="AMV52" s="1"/>
      <c r="AMW52" s="1"/>
      <c r="AMX52" s="1"/>
      <c r="AMY52" s="1"/>
      <c r="AMZ52" s="1"/>
      <c r="ANA52" s="1"/>
      <c r="ANB52" s="1"/>
      <c r="ANC52" s="1"/>
      <c r="AND52" s="1"/>
      <c r="ANE52" s="1"/>
      <c r="ANF52" s="1"/>
      <c r="ANG52" s="1"/>
      <c r="ANH52" s="1"/>
      <c r="ANI52" s="1"/>
      <c r="ANJ52" s="1"/>
      <c r="ANK52" s="1"/>
      <c r="ANL52" s="1"/>
      <c r="ANM52" s="1"/>
      <c r="ANN52" s="1"/>
      <c r="ANO52" s="1"/>
      <c r="ANP52" s="1"/>
      <c r="ANQ52" s="1"/>
      <c r="ANR52" s="1"/>
      <c r="ANS52" s="1"/>
      <c r="ANT52" s="1"/>
      <c r="ANU52" s="1"/>
      <c r="ANV52" s="1"/>
      <c r="ANW52" s="1"/>
      <c r="ANX52" s="1"/>
      <c r="ANY52" s="1"/>
      <c r="ANZ52" s="1"/>
      <c r="AOA52" s="1"/>
      <c r="AOB52" s="1"/>
      <c r="AOC52" s="1"/>
      <c r="AOD52" s="1"/>
      <c r="AOE52" s="1"/>
      <c r="AOF52" s="1"/>
      <c r="AOG52" s="1"/>
      <c r="AOH52" s="1"/>
      <c r="AOI52" s="1"/>
      <c r="AOJ52" s="1"/>
      <c r="AOK52" s="1"/>
      <c r="AOL52" s="1"/>
      <c r="AOM52" s="1"/>
      <c r="AON52" s="1"/>
      <c r="AOO52" s="1"/>
      <c r="AOP52" s="1"/>
      <c r="AOQ52" s="1"/>
      <c r="AOR52" s="1"/>
      <c r="AOS52" s="1"/>
      <c r="AOT52" s="1"/>
      <c r="AOU52" s="1"/>
      <c r="AOV52" s="1"/>
      <c r="AOW52" s="1"/>
      <c r="AOX52" s="1"/>
      <c r="AOY52" s="1"/>
      <c r="AOZ52" s="1"/>
      <c r="APA52" s="1"/>
      <c r="APB52" s="1"/>
      <c r="APC52" s="1"/>
      <c r="APD52" s="1"/>
      <c r="APE52" s="1"/>
      <c r="APF52" s="1"/>
      <c r="APG52" s="1"/>
      <c r="APH52" s="1"/>
      <c r="API52" s="1"/>
      <c r="APJ52" s="1"/>
      <c r="APK52" s="1"/>
      <c r="APL52" s="1"/>
      <c r="APM52" s="1"/>
      <c r="APN52" s="1"/>
      <c r="APO52" s="1"/>
      <c r="APP52" s="1"/>
      <c r="APQ52" s="1"/>
      <c r="APR52" s="1"/>
      <c r="APS52" s="1"/>
      <c r="APT52" s="1"/>
      <c r="APU52" s="1"/>
      <c r="APV52" s="1"/>
      <c r="APW52" s="1"/>
      <c r="APX52" s="1"/>
      <c r="APY52" s="1"/>
      <c r="APZ52" s="1"/>
      <c r="AQA52" s="1"/>
      <c r="AQB52" s="1"/>
      <c r="AQC52" s="1"/>
      <c r="AQD52" s="1"/>
      <c r="AQE52" s="1"/>
      <c r="AQF52" s="1"/>
      <c r="AQG52" s="1"/>
      <c r="AQH52" s="1"/>
      <c r="AQI52" s="1"/>
      <c r="AQJ52" s="1"/>
      <c r="AQK52" s="1"/>
      <c r="AQL52" s="1"/>
      <c r="AQM52" s="1"/>
      <c r="AQN52" s="1"/>
      <c r="AQO52" s="1"/>
      <c r="AQP52" s="1"/>
      <c r="AQQ52" s="1"/>
      <c r="AQR52" s="1"/>
      <c r="AQS52" s="1"/>
      <c r="AQT52" s="1"/>
      <c r="AQU52" s="1"/>
      <c r="AQV52" s="1"/>
      <c r="AQW52" s="1"/>
      <c r="AQX52" s="1"/>
      <c r="AQY52" s="1"/>
      <c r="AQZ52" s="1"/>
      <c r="ARA52" s="1"/>
      <c r="ARB52" s="1"/>
      <c r="ARC52" s="1"/>
      <c r="ARD52" s="1"/>
      <c r="ARE52" s="1"/>
      <c r="ARF52" s="1"/>
      <c r="ARG52" s="1"/>
      <c r="ARH52" s="1"/>
      <c r="ARI52" s="1"/>
      <c r="ARJ52" s="1"/>
      <c r="ARK52" s="1"/>
      <c r="ARL52" s="1"/>
      <c r="ARM52" s="1"/>
      <c r="ARN52" s="1"/>
      <c r="ARO52" s="1"/>
      <c r="ARP52" s="1"/>
      <c r="ARQ52" s="1"/>
      <c r="ARR52" s="1"/>
      <c r="ARS52" s="1"/>
      <c r="ART52" s="1"/>
      <c r="ARU52" s="1"/>
      <c r="ARV52" s="1"/>
      <c r="ARW52" s="1"/>
      <c r="ARX52" s="1"/>
      <c r="ARY52" s="1"/>
      <c r="ARZ52" s="1"/>
      <c r="ASA52" s="1"/>
      <c r="ASB52" s="1"/>
      <c r="ASC52" s="1"/>
      <c r="ASD52" s="1"/>
      <c r="ASE52" s="1"/>
      <c r="ASF52" s="1"/>
      <c r="ASG52" s="1"/>
      <c r="ASH52" s="1"/>
      <c r="ASI52" s="1"/>
      <c r="ASJ52" s="1"/>
      <c r="ASK52" s="1"/>
      <c r="ASL52" s="1"/>
      <c r="ASM52" s="1"/>
      <c r="ASN52" s="1"/>
      <c r="ASO52" s="1"/>
      <c r="ASP52" s="1"/>
      <c r="ASQ52" s="1"/>
      <c r="ASR52" s="1"/>
      <c r="ASS52" s="1"/>
      <c r="AST52" s="1"/>
      <c r="ASU52" s="1"/>
      <c r="ASV52" s="1"/>
      <c r="ASW52" s="1"/>
      <c r="ASX52" s="1"/>
      <c r="ASY52" s="1"/>
      <c r="ASZ52" s="1"/>
      <c r="ATA52" s="1"/>
      <c r="ATB52" s="1"/>
      <c r="ATC52" s="1"/>
      <c r="ATD52" s="1"/>
      <c r="ATE52" s="1"/>
      <c r="ATF52" s="1"/>
      <c r="ATG52" s="1"/>
      <c r="ATH52" s="1"/>
      <c r="ATI52" s="1"/>
      <c r="ATJ52" s="1"/>
      <c r="ATK52" s="1"/>
      <c r="ATL52" s="1"/>
      <c r="ATM52" s="1"/>
      <c r="ATN52" s="1"/>
      <c r="ATO52" s="1"/>
      <c r="ATP52" s="1"/>
      <c r="ATQ52" s="1"/>
      <c r="ATR52" s="1"/>
      <c r="ATS52" s="1"/>
      <c r="ATT52" s="1"/>
      <c r="ATU52" s="1"/>
      <c r="ATV52" s="1"/>
      <c r="ATW52" s="1"/>
      <c r="ATX52" s="1"/>
      <c r="ATY52" s="1"/>
      <c r="ATZ52" s="1"/>
      <c r="AUA52" s="1"/>
      <c r="AUB52" s="1"/>
      <c r="AUC52" s="1"/>
      <c r="AUD52" s="1"/>
      <c r="AUE52" s="1"/>
      <c r="AUF52" s="1"/>
      <c r="AUG52" s="1"/>
      <c r="AUH52" s="1"/>
      <c r="AUI52" s="1"/>
      <c r="AUJ52" s="1"/>
      <c r="AUK52" s="1"/>
      <c r="AUL52" s="1"/>
      <c r="AUM52" s="1"/>
      <c r="AUN52" s="1"/>
      <c r="AUO52" s="1"/>
      <c r="AUP52" s="1"/>
      <c r="AUQ52" s="1"/>
      <c r="AUR52" s="1"/>
      <c r="AUS52" s="1"/>
      <c r="AUT52" s="1"/>
      <c r="AUU52" s="1"/>
      <c r="AUV52" s="1"/>
      <c r="AUW52" s="1"/>
      <c r="AUX52" s="1"/>
      <c r="AUY52" s="1"/>
      <c r="AUZ52" s="1"/>
      <c r="AVA52" s="1"/>
      <c r="AVB52" s="1"/>
      <c r="AVC52" s="1"/>
      <c r="AVD52" s="1"/>
      <c r="AVE52" s="1"/>
      <c r="AVF52" s="1"/>
      <c r="AVG52" s="1"/>
      <c r="AVH52" s="1"/>
      <c r="AVI52" s="1"/>
      <c r="AVJ52" s="1"/>
      <c r="AVK52" s="1"/>
      <c r="AVL52" s="1"/>
      <c r="AVM52" s="1"/>
      <c r="AVN52" s="1"/>
      <c r="AVO52" s="1"/>
      <c r="AVP52" s="1"/>
      <c r="AVQ52" s="1"/>
      <c r="AVR52" s="1"/>
      <c r="AVS52" s="1"/>
      <c r="AVT52" s="1"/>
      <c r="AVU52" s="1"/>
      <c r="AVV52" s="1"/>
      <c r="AVW52" s="1"/>
      <c r="AVX52" s="1"/>
      <c r="AVY52" s="1"/>
      <c r="AVZ52" s="1"/>
      <c r="AWA52" s="1"/>
      <c r="AWB52" s="1"/>
      <c r="AWC52" s="1"/>
      <c r="AWD52" s="1"/>
      <c r="AWE52" s="1"/>
      <c r="AWF52" s="1"/>
      <c r="AWG52" s="1"/>
      <c r="AWH52" s="1"/>
      <c r="AWI52" s="1"/>
      <c r="AWJ52" s="1"/>
      <c r="AWK52" s="1"/>
      <c r="AWL52" s="1"/>
      <c r="AWM52" s="1"/>
      <c r="AWN52" s="1"/>
      <c r="AWO52" s="1"/>
      <c r="AWP52" s="1"/>
      <c r="AWQ52" s="1"/>
      <c r="AWR52" s="1"/>
      <c r="AWS52" s="1"/>
      <c r="AWT52" s="1"/>
      <c r="AWU52" s="1"/>
      <c r="AWV52" s="1"/>
      <c r="AWW52" s="1"/>
      <c r="AWX52" s="1"/>
      <c r="AWY52" s="1"/>
      <c r="AWZ52" s="1"/>
      <c r="AXA52" s="1"/>
      <c r="AXB52" s="1"/>
      <c r="AXC52" s="1"/>
      <c r="AXD52" s="1"/>
      <c r="AXE52" s="1"/>
      <c r="AXF52" s="1"/>
      <c r="AXG52" s="1"/>
      <c r="AXH52" s="1"/>
      <c r="AXI52" s="1"/>
      <c r="AXJ52" s="1"/>
      <c r="AXK52" s="1"/>
      <c r="AXL52" s="1"/>
      <c r="AXM52" s="1"/>
      <c r="AXN52" s="1"/>
      <c r="AXO52" s="1"/>
      <c r="AXP52" s="1"/>
      <c r="AXQ52" s="1"/>
      <c r="AXR52" s="1"/>
      <c r="AXS52" s="1"/>
      <c r="AXT52" s="1"/>
      <c r="AXU52" s="1"/>
      <c r="AXV52" s="1"/>
      <c r="AXW52" s="1"/>
      <c r="AXX52" s="1"/>
      <c r="AXY52" s="1"/>
      <c r="AXZ52" s="1"/>
      <c r="AYA52" s="1"/>
      <c r="AYB52" s="1"/>
      <c r="AYC52" s="1"/>
      <c r="AYD52" s="1"/>
      <c r="AYE52" s="1"/>
      <c r="AYF52" s="1"/>
      <c r="AYG52" s="1"/>
      <c r="AYH52" s="1"/>
      <c r="AYI52" s="1"/>
      <c r="AYJ52" s="1"/>
      <c r="AYK52" s="1"/>
      <c r="AYL52" s="1"/>
      <c r="AYM52" s="1"/>
      <c r="AYN52" s="1"/>
      <c r="AYO52" s="1"/>
      <c r="AYP52" s="1"/>
      <c r="AYQ52" s="1"/>
      <c r="AYR52" s="1"/>
      <c r="AYS52" s="1"/>
      <c r="AYT52" s="1"/>
      <c r="AYU52" s="1"/>
      <c r="AYV52" s="1"/>
      <c r="AYW52" s="1"/>
      <c r="AYX52" s="1"/>
      <c r="AYY52" s="1"/>
      <c r="AYZ52" s="1"/>
      <c r="AZA52" s="1"/>
      <c r="AZB52" s="1"/>
      <c r="AZC52" s="1"/>
      <c r="AZD52" s="1"/>
      <c r="AZE52" s="1"/>
      <c r="AZF52" s="1"/>
      <c r="AZG52" s="1"/>
      <c r="AZH52" s="1"/>
      <c r="AZI52" s="1"/>
      <c r="AZJ52" s="1"/>
      <c r="AZK52" s="1"/>
      <c r="AZL52" s="1"/>
      <c r="AZM52" s="1"/>
      <c r="AZN52" s="1"/>
      <c r="AZO52" s="1"/>
      <c r="AZP52" s="1"/>
      <c r="AZQ52" s="1"/>
      <c r="AZR52" s="1"/>
      <c r="AZS52" s="1"/>
      <c r="AZT52" s="1"/>
      <c r="AZU52" s="1"/>
      <c r="AZV52" s="1"/>
      <c r="AZW52" s="1"/>
      <c r="AZX52" s="1"/>
      <c r="AZY52" s="1"/>
      <c r="AZZ52" s="1"/>
      <c r="BAA52" s="1"/>
      <c r="BAB52" s="1"/>
      <c r="BAC52" s="1"/>
      <c r="BAD52" s="1"/>
      <c r="BAE52" s="1"/>
      <c r="BAF52" s="1"/>
      <c r="BAG52" s="1"/>
      <c r="BAH52" s="1"/>
      <c r="BAI52" s="1"/>
      <c r="BAJ52" s="1"/>
      <c r="BAK52" s="1"/>
      <c r="BAL52" s="1"/>
      <c r="BAM52" s="1"/>
      <c r="BAN52" s="1"/>
      <c r="BAO52" s="1"/>
      <c r="BAP52" s="1"/>
      <c r="BAQ52" s="1"/>
      <c r="BAR52" s="1"/>
      <c r="BAS52" s="1"/>
      <c r="BAT52" s="1"/>
      <c r="BAU52" s="1"/>
      <c r="BAV52" s="1"/>
      <c r="BAW52" s="1"/>
      <c r="BAX52" s="1"/>
      <c r="BAY52" s="1"/>
      <c r="BAZ52" s="1"/>
      <c r="BBA52" s="1"/>
      <c r="BBB52" s="1"/>
      <c r="BBC52" s="1"/>
      <c r="BBD52" s="1"/>
      <c r="BBE52" s="1"/>
      <c r="BBF52" s="1"/>
      <c r="BBG52" s="1"/>
      <c r="BBH52" s="1"/>
      <c r="BBI52" s="1"/>
      <c r="BBJ52" s="1"/>
      <c r="BBK52" s="1"/>
      <c r="BBL52" s="1"/>
      <c r="BBM52" s="1"/>
      <c r="BBN52" s="1"/>
      <c r="BBO52" s="1"/>
      <c r="BBP52" s="1"/>
      <c r="BBQ52" s="1"/>
      <c r="BBR52" s="1"/>
      <c r="BBS52" s="1"/>
      <c r="BBT52" s="1"/>
      <c r="BBU52" s="1"/>
      <c r="BBV52" s="1"/>
      <c r="BBW52" s="1"/>
      <c r="BBX52" s="1"/>
      <c r="BBY52" s="1"/>
      <c r="BBZ52" s="1"/>
      <c r="BCA52" s="1"/>
      <c r="BCB52" s="1"/>
      <c r="BCC52" s="1"/>
      <c r="BCD52" s="1"/>
      <c r="BCE52" s="1"/>
      <c r="BCF52" s="1"/>
      <c r="BCG52" s="1"/>
      <c r="BCH52" s="1"/>
      <c r="BCI52" s="1"/>
      <c r="BCJ52" s="1"/>
      <c r="BCK52" s="1"/>
      <c r="BCL52" s="1"/>
      <c r="BCM52" s="1"/>
      <c r="BCN52" s="1"/>
      <c r="BCO52" s="1"/>
      <c r="BCP52" s="1"/>
      <c r="BCQ52" s="1"/>
      <c r="BCR52" s="1"/>
      <c r="BCS52" s="1"/>
      <c r="BCT52" s="1"/>
      <c r="BCU52" s="1"/>
      <c r="BCV52" s="1"/>
      <c r="BCW52" s="1"/>
      <c r="BCX52" s="1"/>
      <c r="BCY52" s="1"/>
      <c r="BCZ52" s="1"/>
      <c r="BDA52" s="1"/>
      <c r="BDB52" s="1"/>
      <c r="BDC52" s="1"/>
      <c r="BDD52" s="1"/>
      <c r="BDE52" s="1"/>
      <c r="BDF52" s="1"/>
      <c r="BDG52" s="1"/>
      <c r="BDH52" s="1"/>
      <c r="BDI52" s="1"/>
      <c r="BDJ52" s="1"/>
      <c r="BDK52" s="1"/>
      <c r="BDL52" s="1"/>
      <c r="BDM52" s="1"/>
      <c r="BDN52" s="1"/>
      <c r="BDO52" s="1"/>
      <c r="BDP52" s="1"/>
      <c r="BDQ52" s="1"/>
      <c r="BDR52" s="1"/>
      <c r="BDS52" s="1"/>
      <c r="BDT52" s="1"/>
      <c r="BDU52" s="1"/>
    </row>
    <row r="53" spans="1:1477" x14ac:dyDescent="0.35">
      <c r="A53" s="1"/>
      <c r="B53" s="1">
        <f t="shared" si="3"/>
        <v>0</v>
      </c>
      <c r="C53" s="1" t="s">
        <v>64</v>
      </c>
      <c r="D53" s="12" t="s">
        <v>62</v>
      </c>
      <c r="E53" s="1"/>
      <c r="F53" s="1" t="s">
        <v>9</v>
      </c>
      <c r="G53" s="2">
        <f t="shared" si="2"/>
        <v>10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>
        <v>20</v>
      </c>
      <c r="W53" s="1">
        <v>-1</v>
      </c>
      <c r="X53" s="1"/>
      <c r="Y53" s="1"/>
      <c r="Z53" s="1"/>
      <c r="AA53" s="1"/>
      <c r="AB53" s="1"/>
      <c r="AC53" s="1"/>
      <c r="AD53" s="1"/>
      <c r="AE53" s="1"/>
      <c r="AF53" s="1">
        <v>-1</v>
      </c>
      <c r="AG53" s="1"/>
      <c r="AH53" s="1"/>
      <c r="AI53" s="1"/>
      <c r="AJ53" s="1"/>
      <c r="AK53" s="1"/>
      <c r="AL53" s="1"/>
      <c r="AM53" s="1"/>
      <c r="AN53" s="1"/>
      <c r="AO53" s="1">
        <v>-2</v>
      </c>
      <c r="AP53" s="1"/>
      <c r="AQ53" s="1"/>
      <c r="AR53" s="1"/>
      <c r="AS53" s="1"/>
      <c r="AT53" s="1">
        <v>-1</v>
      </c>
      <c r="AU53" s="1"/>
      <c r="AV53" s="1"/>
      <c r="AW53" s="1"/>
      <c r="AX53" s="1">
        <v>-5</v>
      </c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  <c r="PL53" s="1"/>
      <c r="PM53" s="1"/>
      <c r="PN53" s="1"/>
      <c r="PO53" s="1"/>
      <c r="PP53" s="1"/>
      <c r="PQ53" s="1"/>
      <c r="PR53" s="1"/>
      <c r="PS53" s="1"/>
      <c r="PT53" s="1"/>
      <c r="PU53" s="1"/>
      <c r="PV53" s="1"/>
      <c r="PW53" s="1"/>
      <c r="PX53" s="1"/>
      <c r="PY53" s="1"/>
      <c r="PZ53" s="1"/>
      <c r="QA53" s="1"/>
      <c r="QB53" s="1"/>
      <c r="QC53" s="1"/>
      <c r="QD53" s="1"/>
      <c r="QE53" s="1"/>
      <c r="QF53" s="1"/>
      <c r="QG53" s="1"/>
      <c r="QH53" s="1"/>
      <c r="QI53" s="1"/>
      <c r="QJ53" s="1"/>
      <c r="QK53" s="1"/>
      <c r="QL53" s="1"/>
      <c r="QM53" s="1"/>
      <c r="QN53" s="1"/>
      <c r="QO53" s="1"/>
      <c r="QP53" s="1"/>
      <c r="QQ53" s="1"/>
      <c r="QR53" s="1"/>
      <c r="QS53" s="1"/>
      <c r="QT53" s="1"/>
      <c r="QU53" s="1"/>
      <c r="QV53" s="1"/>
      <c r="QW53" s="1"/>
      <c r="QX53" s="1"/>
      <c r="QY53" s="1"/>
      <c r="QZ53" s="1"/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1"/>
      <c r="UC53" s="1"/>
      <c r="UD53" s="1"/>
      <c r="UE53" s="1"/>
      <c r="UF53" s="1"/>
      <c r="UG53" s="1"/>
      <c r="UH53" s="1"/>
      <c r="UI53" s="1"/>
      <c r="UJ53" s="1"/>
      <c r="UK53" s="1"/>
      <c r="UL53" s="1"/>
      <c r="UM53" s="1"/>
      <c r="UN53" s="1"/>
      <c r="UO53" s="1"/>
      <c r="UP53" s="1"/>
      <c r="UQ53" s="1"/>
      <c r="UR53" s="1"/>
      <c r="US53" s="1"/>
      <c r="UT53" s="1"/>
      <c r="UU53" s="1"/>
      <c r="UV53" s="1"/>
      <c r="UW53" s="1"/>
      <c r="UX53" s="1"/>
      <c r="UY53" s="1"/>
      <c r="UZ53" s="1"/>
      <c r="VA53" s="1"/>
      <c r="VB53" s="1"/>
      <c r="VC53" s="1"/>
      <c r="VD53" s="1"/>
      <c r="VE53" s="1"/>
      <c r="VF53" s="1"/>
      <c r="VG53" s="1"/>
      <c r="VH53" s="1"/>
      <c r="VI53" s="1"/>
      <c r="VJ53" s="1"/>
      <c r="VK53" s="1"/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/>
      <c r="VX53" s="1"/>
      <c r="VY53" s="1"/>
      <c r="VZ53" s="1"/>
      <c r="WA53" s="1"/>
      <c r="WB53" s="1"/>
      <c r="WC53" s="1"/>
      <c r="WD53" s="1"/>
      <c r="WE53" s="1"/>
      <c r="WF53" s="1"/>
      <c r="WG53" s="1"/>
      <c r="WH53" s="1"/>
      <c r="WI53" s="1"/>
      <c r="WJ53" s="1"/>
      <c r="WK53" s="1"/>
      <c r="WL53" s="1"/>
      <c r="WM53" s="1"/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WZ53" s="1"/>
      <c r="XA53" s="1"/>
      <c r="XB53" s="1"/>
      <c r="XC53" s="1"/>
      <c r="XD53" s="1"/>
      <c r="XE53" s="1"/>
      <c r="XF53" s="1"/>
      <c r="XG53" s="1"/>
      <c r="XH53" s="1"/>
      <c r="XI53" s="1"/>
      <c r="XJ53" s="1"/>
      <c r="XK53" s="1"/>
      <c r="XL53" s="1"/>
      <c r="XM53" s="1"/>
      <c r="XN53" s="1"/>
      <c r="XO53" s="1"/>
      <c r="XP53" s="1"/>
      <c r="XQ53" s="1"/>
      <c r="XR53" s="1"/>
      <c r="XS53" s="1"/>
      <c r="XT53" s="1"/>
      <c r="XU53" s="1"/>
      <c r="XV53" s="1"/>
      <c r="XW53" s="1"/>
      <c r="XX53" s="1"/>
      <c r="XY53" s="1"/>
      <c r="XZ53" s="1"/>
      <c r="YA53" s="1"/>
      <c r="YB53" s="1"/>
      <c r="YC53" s="1"/>
      <c r="YD53" s="1"/>
      <c r="YE53" s="1"/>
      <c r="YF53" s="1"/>
      <c r="YG53" s="1"/>
      <c r="YH53" s="1"/>
      <c r="YI53" s="1"/>
      <c r="YJ53" s="1"/>
      <c r="YK53" s="1"/>
      <c r="YL53" s="1"/>
      <c r="YM53" s="1"/>
      <c r="YN53" s="1"/>
      <c r="YO53" s="1"/>
      <c r="YP53" s="1"/>
      <c r="YQ53" s="1"/>
      <c r="YR53" s="1"/>
      <c r="YS53" s="1"/>
      <c r="YT53" s="1"/>
      <c r="YU53" s="1"/>
      <c r="YV53" s="1"/>
      <c r="YW53" s="1"/>
      <c r="YX53" s="1"/>
      <c r="YY53" s="1"/>
      <c r="YZ53" s="1"/>
      <c r="ZA53" s="1"/>
      <c r="ZB53" s="1"/>
      <c r="ZC53" s="1"/>
      <c r="ZD53" s="1"/>
      <c r="ZE53" s="1"/>
      <c r="ZF53" s="1"/>
      <c r="ZG53" s="1"/>
      <c r="ZH53" s="1"/>
      <c r="ZI53" s="1"/>
      <c r="ZJ53" s="1"/>
      <c r="ZK53" s="1"/>
      <c r="ZL53" s="1"/>
      <c r="ZM53" s="1"/>
      <c r="ZN53" s="1"/>
      <c r="ZO53" s="1"/>
      <c r="ZP53" s="1"/>
      <c r="ZQ53" s="1"/>
      <c r="ZR53" s="1"/>
      <c r="ZS53" s="1"/>
      <c r="ZT53" s="1"/>
      <c r="ZU53" s="1"/>
      <c r="ZV53" s="1"/>
      <c r="ZW53" s="1"/>
      <c r="ZX53" s="1"/>
      <c r="ZY53" s="1"/>
      <c r="ZZ53" s="1"/>
      <c r="AAA53" s="1"/>
      <c r="AAB53" s="1"/>
      <c r="AAC53" s="1"/>
      <c r="AAD53" s="1"/>
      <c r="AAE53" s="1"/>
      <c r="AAF53" s="1"/>
      <c r="AAG53" s="1"/>
      <c r="AAH53" s="1"/>
      <c r="AAI53" s="1"/>
      <c r="AAJ53" s="1"/>
      <c r="AAK53" s="1"/>
      <c r="AAL53" s="1"/>
      <c r="AAM53" s="1"/>
      <c r="AAN53" s="1"/>
      <c r="AAO53" s="1"/>
      <c r="AAP53" s="1"/>
      <c r="AAQ53" s="1"/>
      <c r="AAR53" s="1"/>
      <c r="AAS53" s="1"/>
      <c r="AAT53" s="1"/>
      <c r="AAU53" s="1"/>
      <c r="AAV53" s="1"/>
      <c r="AAW53" s="1"/>
      <c r="AAX53" s="1"/>
      <c r="AAY53" s="1"/>
      <c r="AAZ53" s="1"/>
      <c r="ABA53" s="1"/>
      <c r="ABB53" s="1"/>
      <c r="ABC53" s="1"/>
      <c r="ABD53" s="1"/>
      <c r="ABE53" s="1"/>
      <c r="ABF53" s="1"/>
      <c r="ABG53" s="1"/>
      <c r="ABH53" s="1"/>
      <c r="ABI53" s="1"/>
      <c r="ABJ53" s="1"/>
      <c r="ABK53" s="1"/>
      <c r="ABL53" s="1"/>
      <c r="ABM53" s="1"/>
      <c r="ABN53" s="1"/>
      <c r="ABO53" s="1"/>
      <c r="ABP53" s="1"/>
      <c r="ABQ53" s="1"/>
      <c r="ABR53" s="1"/>
      <c r="ABS53" s="1"/>
      <c r="ABT53" s="1"/>
      <c r="ABU53" s="1"/>
      <c r="ABV53" s="1"/>
      <c r="ABW53" s="1"/>
      <c r="ABX53" s="1"/>
      <c r="ABY53" s="1"/>
      <c r="ABZ53" s="1"/>
      <c r="ACA53" s="1"/>
      <c r="ACB53" s="1"/>
      <c r="ACC53" s="1"/>
      <c r="ACD53" s="1"/>
      <c r="ACE53" s="1"/>
      <c r="ACF53" s="1"/>
      <c r="ACG53" s="1"/>
      <c r="ACH53" s="1"/>
      <c r="ACI53" s="1"/>
      <c r="ACJ53" s="1"/>
      <c r="ACK53" s="1"/>
      <c r="ACL53" s="1"/>
      <c r="ACM53" s="1"/>
      <c r="ACN53" s="1"/>
      <c r="ACO53" s="1"/>
      <c r="ACP53" s="1"/>
      <c r="ACQ53" s="1"/>
      <c r="ACR53" s="1"/>
      <c r="ACS53" s="1"/>
      <c r="ACT53" s="1"/>
      <c r="ACU53" s="1"/>
      <c r="ACV53" s="1"/>
      <c r="ACW53" s="1"/>
      <c r="ACX53" s="1"/>
      <c r="ACY53" s="1"/>
      <c r="ACZ53" s="1"/>
      <c r="ADA53" s="1"/>
      <c r="ADB53" s="1"/>
      <c r="ADC53" s="1"/>
      <c r="ADD53" s="1"/>
      <c r="ADE53" s="1"/>
      <c r="ADF53" s="1"/>
      <c r="ADG53" s="1"/>
      <c r="ADH53" s="1"/>
      <c r="ADI53" s="1"/>
      <c r="ADJ53" s="1"/>
      <c r="ADK53" s="1"/>
      <c r="ADL53" s="1"/>
      <c r="ADM53" s="1"/>
      <c r="ADN53" s="1"/>
      <c r="ADO53" s="1"/>
      <c r="ADP53" s="1"/>
      <c r="ADQ53" s="1"/>
      <c r="ADR53" s="1"/>
      <c r="ADS53" s="1"/>
      <c r="ADT53" s="1"/>
      <c r="ADU53" s="1"/>
      <c r="ADV53" s="1"/>
      <c r="ADW53" s="1"/>
      <c r="ADX53" s="1"/>
      <c r="ADY53" s="1"/>
      <c r="ADZ53" s="1"/>
      <c r="AEA53" s="1"/>
      <c r="AEB53" s="1"/>
      <c r="AEC53" s="1"/>
      <c r="AED53" s="1"/>
      <c r="AEE53" s="1"/>
      <c r="AEF53" s="1"/>
      <c r="AEG53" s="1"/>
      <c r="AEH53" s="1"/>
      <c r="AEI53" s="1"/>
      <c r="AEJ53" s="1"/>
      <c r="AEK53" s="1"/>
      <c r="AEL53" s="1"/>
      <c r="AEM53" s="1"/>
      <c r="AEN53" s="1"/>
      <c r="AEO53" s="1"/>
      <c r="AEP53" s="1"/>
      <c r="AEQ53" s="1"/>
      <c r="AER53" s="1"/>
      <c r="AES53" s="1"/>
      <c r="AET53" s="1"/>
      <c r="AEU53" s="1"/>
      <c r="AEV53" s="1"/>
      <c r="AEW53" s="1"/>
      <c r="AEX53" s="1"/>
      <c r="AEY53" s="1"/>
      <c r="AEZ53" s="1"/>
      <c r="AFA53" s="1"/>
      <c r="AFB53" s="1"/>
      <c r="AFC53" s="1"/>
      <c r="AFD53" s="1"/>
      <c r="AFE53" s="1"/>
      <c r="AFF53" s="1"/>
      <c r="AFG53" s="1"/>
      <c r="AFH53" s="1"/>
      <c r="AFI53" s="1"/>
      <c r="AFJ53" s="1"/>
      <c r="AFK53" s="1"/>
      <c r="AFL53" s="1"/>
      <c r="AFM53" s="1"/>
      <c r="AFN53" s="1"/>
      <c r="AFO53" s="1"/>
      <c r="AFP53" s="1"/>
      <c r="AFQ53" s="1"/>
      <c r="AFR53" s="1"/>
      <c r="AFS53" s="1"/>
      <c r="AFT53" s="1"/>
      <c r="AFU53" s="1"/>
      <c r="AFV53" s="1"/>
      <c r="AFW53" s="1"/>
      <c r="AFX53" s="1"/>
      <c r="AFY53" s="1"/>
      <c r="AFZ53" s="1"/>
      <c r="AGA53" s="1"/>
      <c r="AGB53" s="1"/>
      <c r="AGC53" s="1"/>
      <c r="AGD53" s="1"/>
      <c r="AGE53" s="1"/>
      <c r="AGF53" s="1"/>
      <c r="AGG53" s="1"/>
      <c r="AGH53" s="1"/>
      <c r="AGI53" s="1"/>
      <c r="AGJ53" s="1"/>
      <c r="AGK53" s="1"/>
      <c r="AGL53" s="1"/>
      <c r="AGM53" s="1"/>
      <c r="AGN53" s="1"/>
      <c r="AGO53" s="1"/>
      <c r="AGP53" s="1"/>
      <c r="AGQ53" s="1"/>
      <c r="AGR53" s="1"/>
      <c r="AGS53" s="1"/>
      <c r="AGT53" s="1"/>
      <c r="AGU53" s="1"/>
      <c r="AGV53" s="1"/>
      <c r="AGW53" s="1"/>
      <c r="AGX53" s="1"/>
      <c r="AGY53" s="1"/>
      <c r="AGZ53" s="1"/>
      <c r="AHA53" s="1"/>
      <c r="AHB53" s="1"/>
      <c r="AHC53" s="1"/>
      <c r="AHD53" s="1"/>
      <c r="AHE53" s="1"/>
      <c r="AHF53" s="1"/>
      <c r="AHG53" s="1"/>
      <c r="AHH53" s="1"/>
      <c r="AHI53" s="1"/>
      <c r="AHJ53" s="1"/>
      <c r="AHK53" s="1"/>
      <c r="AHL53" s="1"/>
      <c r="AHM53" s="1"/>
      <c r="AHN53" s="1"/>
      <c r="AHO53" s="1"/>
      <c r="AHP53" s="1"/>
      <c r="AHQ53" s="1"/>
      <c r="AHR53" s="1"/>
      <c r="AHS53" s="1"/>
      <c r="AHT53" s="1"/>
      <c r="AHU53" s="1"/>
      <c r="AHV53" s="1"/>
      <c r="AHW53" s="1"/>
      <c r="AHX53" s="1"/>
      <c r="AHY53" s="1"/>
      <c r="AHZ53" s="1"/>
      <c r="AIA53" s="1"/>
      <c r="AIB53" s="1"/>
      <c r="AIC53" s="1"/>
      <c r="AID53" s="1"/>
      <c r="AIE53" s="1"/>
      <c r="AIF53" s="1"/>
      <c r="AIG53" s="1"/>
      <c r="AIH53" s="1"/>
      <c r="AII53" s="1"/>
      <c r="AIJ53" s="1"/>
      <c r="AIK53" s="1"/>
      <c r="AIL53" s="1"/>
      <c r="AIM53" s="1"/>
      <c r="AIN53" s="1"/>
      <c r="AIO53" s="1"/>
      <c r="AIP53" s="1"/>
      <c r="AIQ53" s="1"/>
      <c r="AIR53" s="1"/>
      <c r="AIS53" s="1"/>
      <c r="AIT53" s="1"/>
      <c r="AIU53" s="1"/>
      <c r="AIV53" s="1"/>
      <c r="AIW53" s="1"/>
      <c r="AIX53" s="1"/>
      <c r="AIY53" s="1"/>
      <c r="AIZ53" s="1"/>
      <c r="AJA53" s="1"/>
      <c r="AJB53" s="1"/>
      <c r="AJC53" s="1"/>
      <c r="AJD53" s="1"/>
      <c r="AJE53" s="1"/>
      <c r="AJF53" s="1"/>
      <c r="AJG53" s="1"/>
      <c r="AJH53" s="1"/>
      <c r="AJI53" s="1"/>
      <c r="AJJ53" s="1"/>
      <c r="AJK53" s="1"/>
      <c r="AJL53" s="1"/>
      <c r="AJM53" s="1"/>
      <c r="AJN53" s="1"/>
      <c r="AJO53" s="1"/>
      <c r="AJP53" s="1"/>
      <c r="AJQ53" s="1"/>
      <c r="AJR53" s="1"/>
      <c r="AJS53" s="1"/>
      <c r="AJT53" s="1"/>
      <c r="AJU53" s="1"/>
      <c r="AJV53" s="1"/>
      <c r="AJW53" s="1"/>
      <c r="AJX53" s="1"/>
      <c r="AJY53" s="1"/>
      <c r="AJZ53" s="1"/>
      <c r="AKA53" s="1"/>
      <c r="AKB53" s="1"/>
      <c r="AKC53" s="1"/>
      <c r="AKD53" s="1"/>
      <c r="AKE53" s="1"/>
      <c r="AKF53" s="1"/>
      <c r="AKG53" s="1"/>
      <c r="AKH53" s="1"/>
      <c r="AKI53" s="1"/>
      <c r="AKJ53" s="1"/>
      <c r="AKK53" s="1"/>
      <c r="AKL53" s="1"/>
      <c r="AKM53" s="1"/>
      <c r="AKN53" s="1"/>
      <c r="AKO53" s="1"/>
      <c r="AKP53" s="1"/>
      <c r="AKQ53" s="1"/>
      <c r="AKR53" s="1"/>
      <c r="AKS53" s="1"/>
      <c r="AKT53" s="1"/>
      <c r="AKU53" s="1"/>
      <c r="AKV53" s="1"/>
      <c r="AKW53" s="1"/>
      <c r="AKX53" s="1"/>
      <c r="AKY53" s="1"/>
      <c r="AKZ53" s="1"/>
      <c r="ALA53" s="1"/>
      <c r="ALB53" s="1"/>
      <c r="ALC53" s="1"/>
      <c r="ALD53" s="1"/>
      <c r="ALE53" s="1"/>
      <c r="ALF53" s="1"/>
      <c r="ALG53" s="1"/>
      <c r="ALH53" s="1"/>
      <c r="ALI53" s="1"/>
      <c r="ALJ53" s="1"/>
      <c r="ALK53" s="1"/>
      <c r="ALL53" s="1"/>
      <c r="ALM53" s="1"/>
      <c r="ALN53" s="1"/>
      <c r="ALO53" s="1"/>
      <c r="ALP53" s="1"/>
      <c r="ALQ53" s="1"/>
      <c r="ALR53" s="1"/>
      <c r="ALS53" s="1"/>
      <c r="ALT53" s="1"/>
      <c r="ALU53" s="1"/>
      <c r="ALV53" s="1"/>
      <c r="ALW53" s="1"/>
      <c r="ALX53" s="1"/>
      <c r="ALY53" s="1"/>
      <c r="ALZ53" s="1"/>
      <c r="AMA53" s="1"/>
      <c r="AMB53" s="1"/>
      <c r="AMC53" s="1"/>
      <c r="AMD53" s="1"/>
      <c r="AME53" s="1"/>
      <c r="AMF53" s="1"/>
      <c r="AMG53" s="1"/>
      <c r="AMH53" s="1"/>
      <c r="AMI53" s="1"/>
      <c r="AMJ53" s="1"/>
      <c r="AMK53" s="1"/>
      <c r="AML53" s="1"/>
      <c r="AMM53" s="1"/>
      <c r="AMN53" s="1"/>
      <c r="AMO53" s="1"/>
      <c r="AMP53" s="1"/>
      <c r="AMQ53" s="1"/>
      <c r="AMR53" s="1"/>
      <c r="AMS53" s="1"/>
      <c r="AMT53" s="1"/>
      <c r="AMU53" s="1"/>
      <c r="AMV53" s="1"/>
      <c r="AMW53" s="1"/>
      <c r="AMX53" s="1"/>
      <c r="AMY53" s="1"/>
      <c r="AMZ53" s="1"/>
      <c r="ANA53" s="1"/>
      <c r="ANB53" s="1"/>
      <c r="ANC53" s="1"/>
      <c r="AND53" s="1"/>
      <c r="ANE53" s="1"/>
      <c r="ANF53" s="1"/>
      <c r="ANG53" s="1"/>
      <c r="ANH53" s="1"/>
      <c r="ANI53" s="1"/>
      <c r="ANJ53" s="1"/>
      <c r="ANK53" s="1"/>
      <c r="ANL53" s="1"/>
      <c r="ANM53" s="1"/>
      <c r="ANN53" s="1"/>
      <c r="ANO53" s="1"/>
      <c r="ANP53" s="1"/>
      <c r="ANQ53" s="1"/>
      <c r="ANR53" s="1"/>
      <c r="ANS53" s="1"/>
      <c r="ANT53" s="1"/>
      <c r="ANU53" s="1"/>
      <c r="ANV53" s="1"/>
      <c r="ANW53" s="1"/>
      <c r="ANX53" s="1"/>
      <c r="ANY53" s="1"/>
      <c r="ANZ53" s="1"/>
      <c r="AOA53" s="1"/>
      <c r="AOB53" s="1"/>
      <c r="AOC53" s="1"/>
      <c r="AOD53" s="1"/>
      <c r="AOE53" s="1"/>
      <c r="AOF53" s="1"/>
      <c r="AOG53" s="1"/>
      <c r="AOH53" s="1"/>
      <c r="AOI53" s="1"/>
      <c r="AOJ53" s="1"/>
      <c r="AOK53" s="1"/>
      <c r="AOL53" s="1"/>
      <c r="AOM53" s="1"/>
      <c r="AON53" s="1"/>
      <c r="AOO53" s="1"/>
      <c r="AOP53" s="1"/>
      <c r="AOQ53" s="1"/>
      <c r="AOR53" s="1"/>
      <c r="AOS53" s="1"/>
      <c r="AOT53" s="1"/>
      <c r="AOU53" s="1"/>
      <c r="AOV53" s="1"/>
      <c r="AOW53" s="1"/>
      <c r="AOX53" s="1"/>
      <c r="AOY53" s="1"/>
      <c r="AOZ53" s="1"/>
      <c r="APA53" s="1"/>
      <c r="APB53" s="1"/>
      <c r="APC53" s="1"/>
      <c r="APD53" s="1"/>
      <c r="APE53" s="1"/>
      <c r="APF53" s="1"/>
      <c r="APG53" s="1"/>
      <c r="APH53" s="1"/>
      <c r="API53" s="1"/>
      <c r="APJ53" s="1"/>
      <c r="APK53" s="1"/>
      <c r="APL53" s="1"/>
      <c r="APM53" s="1"/>
      <c r="APN53" s="1"/>
      <c r="APO53" s="1"/>
      <c r="APP53" s="1"/>
      <c r="APQ53" s="1"/>
      <c r="APR53" s="1"/>
      <c r="APS53" s="1"/>
      <c r="APT53" s="1"/>
      <c r="APU53" s="1"/>
      <c r="APV53" s="1"/>
      <c r="APW53" s="1"/>
      <c r="APX53" s="1"/>
      <c r="APY53" s="1"/>
      <c r="APZ53" s="1"/>
      <c r="AQA53" s="1"/>
      <c r="AQB53" s="1"/>
      <c r="AQC53" s="1"/>
      <c r="AQD53" s="1"/>
      <c r="AQE53" s="1"/>
      <c r="AQF53" s="1"/>
      <c r="AQG53" s="1"/>
      <c r="AQH53" s="1"/>
      <c r="AQI53" s="1"/>
      <c r="AQJ53" s="1"/>
      <c r="AQK53" s="1"/>
      <c r="AQL53" s="1"/>
      <c r="AQM53" s="1"/>
      <c r="AQN53" s="1"/>
      <c r="AQO53" s="1"/>
      <c r="AQP53" s="1"/>
      <c r="AQQ53" s="1"/>
      <c r="AQR53" s="1"/>
      <c r="AQS53" s="1"/>
      <c r="AQT53" s="1"/>
      <c r="AQU53" s="1"/>
      <c r="AQV53" s="1"/>
      <c r="AQW53" s="1"/>
      <c r="AQX53" s="1"/>
      <c r="AQY53" s="1"/>
      <c r="AQZ53" s="1"/>
      <c r="ARA53" s="1"/>
      <c r="ARB53" s="1"/>
      <c r="ARC53" s="1"/>
      <c r="ARD53" s="1"/>
      <c r="ARE53" s="1"/>
      <c r="ARF53" s="1"/>
      <c r="ARG53" s="1"/>
      <c r="ARH53" s="1"/>
      <c r="ARI53" s="1"/>
      <c r="ARJ53" s="1"/>
      <c r="ARK53" s="1"/>
      <c r="ARL53" s="1"/>
      <c r="ARM53" s="1"/>
      <c r="ARN53" s="1"/>
      <c r="ARO53" s="1"/>
      <c r="ARP53" s="1"/>
      <c r="ARQ53" s="1"/>
      <c r="ARR53" s="1"/>
      <c r="ARS53" s="1"/>
      <c r="ART53" s="1"/>
      <c r="ARU53" s="1"/>
      <c r="ARV53" s="1"/>
      <c r="ARW53" s="1"/>
      <c r="ARX53" s="1"/>
      <c r="ARY53" s="1"/>
      <c r="ARZ53" s="1"/>
      <c r="ASA53" s="1"/>
      <c r="ASB53" s="1"/>
      <c r="ASC53" s="1"/>
      <c r="ASD53" s="1"/>
      <c r="ASE53" s="1"/>
      <c r="ASF53" s="1"/>
      <c r="ASG53" s="1"/>
      <c r="ASH53" s="1"/>
      <c r="ASI53" s="1"/>
      <c r="ASJ53" s="1"/>
      <c r="ASK53" s="1"/>
      <c r="ASL53" s="1"/>
      <c r="ASM53" s="1"/>
      <c r="ASN53" s="1"/>
      <c r="ASO53" s="1"/>
      <c r="ASP53" s="1"/>
      <c r="ASQ53" s="1"/>
      <c r="ASR53" s="1"/>
      <c r="ASS53" s="1"/>
      <c r="AST53" s="1"/>
      <c r="ASU53" s="1"/>
      <c r="ASV53" s="1"/>
      <c r="ASW53" s="1"/>
      <c r="ASX53" s="1"/>
      <c r="ASY53" s="1"/>
      <c r="ASZ53" s="1"/>
      <c r="ATA53" s="1"/>
      <c r="ATB53" s="1"/>
      <c r="ATC53" s="1"/>
      <c r="ATD53" s="1"/>
      <c r="ATE53" s="1"/>
      <c r="ATF53" s="1"/>
      <c r="ATG53" s="1"/>
      <c r="ATH53" s="1"/>
      <c r="ATI53" s="1"/>
      <c r="ATJ53" s="1"/>
      <c r="ATK53" s="1"/>
      <c r="ATL53" s="1"/>
      <c r="ATM53" s="1"/>
      <c r="ATN53" s="1"/>
      <c r="ATO53" s="1"/>
      <c r="ATP53" s="1"/>
      <c r="ATQ53" s="1"/>
      <c r="ATR53" s="1"/>
      <c r="ATS53" s="1"/>
      <c r="ATT53" s="1"/>
      <c r="ATU53" s="1"/>
      <c r="ATV53" s="1"/>
      <c r="ATW53" s="1"/>
      <c r="ATX53" s="1"/>
      <c r="ATY53" s="1"/>
      <c r="ATZ53" s="1"/>
      <c r="AUA53" s="1"/>
      <c r="AUB53" s="1"/>
      <c r="AUC53" s="1"/>
      <c r="AUD53" s="1"/>
      <c r="AUE53" s="1"/>
      <c r="AUF53" s="1"/>
      <c r="AUG53" s="1"/>
      <c r="AUH53" s="1"/>
      <c r="AUI53" s="1"/>
      <c r="AUJ53" s="1"/>
      <c r="AUK53" s="1"/>
      <c r="AUL53" s="1"/>
      <c r="AUM53" s="1"/>
      <c r="AUN53" s="1"/>
      <c r="AUO53" s="1"/>
      <c r="AUP53" s="1"/>
      <c r="AUQ53" s="1"/>
      <c r="AUR53" s="1"/>
      <c r="AUS53" s="1"/>
      <c r="AUT53" s="1"/>
      <c r="AUU53" s="1"/>
      <c r="AUV53" s="1"/>
      <c r="AUW53" s="1"/>
      <c r="AUX53" s="1"/>
      <c r="AUY53" s="1"/>
      <c r="AUZ53" s="1"/>
      <c r="AVA53" s="1"/>
      <c r="AVB53" s="1"/>
      <c r="AVC53" s="1"/>
      <c r="AVD53" s="1"/>
      <c r="AVE53" s="1"/>
      <c r="AVF53" s="1"/>
      <c r="AVG53" s="1"/>
      <c r="AVH53" s="1"/>
      <c r="AVI53" s="1"/>
      <c r="AVJ53" s="1"/>
      <c r="AVK53" s="1"/>
      <c r="AVL53" s="1"/>
      <c r="AVM53" s="1"/>
      <c r="AVN53" s="1"/>
      <c r="AVO53" s="1"/>
      <c r="AVP53" s="1"/>
      <c r="AVQ53" s="1"/>
      <c r="AVR53" s="1"/>
      <c r="AVS53" s="1"/>
      <c r="AVT53" s="1"/>
      <c r="AVU53" s="1"/>
      <c r="AVV53" s="1"/>
      <c r="AVW53" s="1"/>
      <c r="AVX53" s="1"/>
      <c r="AVY53" s="1"/>
      <c r="AVZ53" s="1"/>
      <c r="AWA53" s="1"/>
      <c r="AWB53" s="1"/>
      <c r="AWC53" s="1"/>
      <c r="AWD53" s="1"/>
      <c r="AWE53" s="1"/>
      <c r="AWF53" s="1"/>
      <c r="AWG53" s="1"/>
      <c r="AWH53" s="1"/>
      <c r="AWI53" s="1"/>
      <c r="AWJ53" s="1"/>
      <c r="AWK53" s="1"/>
      <c r="AWL53" s="1"/>
      <c r="AWM53" s="1"/>
      <c r="AWN53" s="1"/>
      <c r="AWO53" s="1"/>
      <c r="AWP53" s="1"/>
      <c r="AWQ53" s="1"/>
      <c r="AWR53" s="1"/>
      <c r="AWS53" s="1"/>
      <c r="AWT53" s="1"/>
      <c r="AWU53" s="1"/>
      <c r="AWV53" s="1"/>
      <c r="AWW53" s="1"/>
      <c r="AWX53" s="1"/>
      <c r="AWY53" s="1"/>
      <c r="AWZ53" s="1"/>
      <c r="AXA53" s="1"/>
      <c r="AXB53" s="1"/>
      <c r="AXC53" s="1"/>
      <c r="AXD53" s="1"/>
      <c r="AXE53" s="1"/>
      <c r="AXF53" s="1"/>
      <c r="AXG53" s="1"/>
      <c r="AXH53" s="1"/>
      <c r="AXI53" s="1"/>
      <c r="AXJ53" s="1"/>
      <c r="AXK53" s="1"/>
      <c r="AXL53" s="1"/>
      <c r="AXM53" s="1"/>
      <c r="AXN53" s="1"/>
      <c r="AXO53" s="1"/>
      <c r="AXP53" s="1"/>
      <c r="AXQ53" s="1"/>
      <c r="AXR53" s="1"/>
      <c r="AXS53" s="1"/>
      <c r="AXT53" s="1"/>
      <c r="AXU53" s="1"/>
      <c r="AXV53" s="1"/>
      <c r="AXW53" s="1"/>
      <c r="AXX53" s="1"/>
      <c r="AXY53" s="1"/>
      <c r="AXZ53" s="1"/>
      <c r="AYA53" s="1"/>
      <c r="AYB53" s="1"/>
      <c r="AYC53" s="1"/>
      <c r="AYD53" s="1"/>
      <c r="AYE53" s="1"/>
      <c r="AYF53" s="1"/>
      <c r="AYG53" s="1"/>
      <c r="AYH53" s="1"/>
      <c r="AYI53" s="1"/>
      <c r="AYJ53" s="1"/>
      <c r="AYK53" s="1"/>
      <c r="AYL53" s="1"/>
      <c r="AYM53" s="1"/>
      <c r="AYN53" s="1"/>
      <c r="AYO53" s="1"/>
      <c r="AYP53" s="1"/>
      <c r="AYQ53" s="1"/>
      <c r="AYR53" s="1"/>
      <c r="AYS53" s="1"/>
      <c r="AYT53" s="1"/>
      <c r="AYU53" s="1"/>
      <c r="AYV53" s="1"/>
      <c r="AYW53" s="1"/>
      <c r="AYX53" s="1"/>
      <c r="AYY53" s="1"/>
      <c r="AYZ53" s="1"/>
      <c r="AZA53" s="1"/>
      <c r="AZB53" s="1"/>
      <c r="AZC53" s="1"/>
      <c r="AZD53" s="1"/>
      <c r="AZE53" s="1"/>
      <c r="AZF53" s="1"/>
      <c r="AZG53" s="1"/>
      <c r="AZH53" s="1"/>
      <c r="AZI53" s="1"/>
      <c r="AZJ53" s="1"/>
      <c r="AZK53" s="1"/>
      <c r="AZL53" s="1"/>
      <c r="AZM53" s="1"/>
      <c r="AZN53" s="1"/>
      <c r="AZO53" s="1"/>
      <c r="AZP53" s="1"/>
      <c r="AZQ53" s="1"/>
      <c r="AZR53" s="1"/>
      <c r="AZS53" s="1"/>
      <c r="AZT53" s="1"/>
      <c r="AZU53" s="1"/>
      <c r="AZV53" s="1"/>
      <c r="AZW53" s="1"/>
      <c r="AZX53" s="1"/>
      <c r="AZY53" s="1"/>
      <c r="AZZ53" s="1"/>
      <c r="BAA53" s="1"/>
      <c r="BAB53" s="1"/>
      <c r="BAC53" s="1"/>
      <c r="BAD53" s="1"/>
      <c r="BAE53" s="1"/>
      <c r="BAF53" s="1"/>
      <c r="BAG53" s="1"/>
      <c r="BAH53" s="1"/>
      <c r="BAI53" s="1"/>
      <c r="BAJ53" s="1"/>
      <c r="BAK53" s="1"/>
      <c r="BAL53" s="1"/>
      <c r="BAM53" s="1"/>
      <c r="BAN53" s="1"/>
      <c r="BAO53" s="1"/>
      <c r="BAP53" s="1"/>
      <c r="BAQ53" s="1"/>
      <c r="BAR53" s="1"/>
      <c r="BAS53" s="1"/>
      <c r="BAT53" s="1"/>
      <c r="BAU53" s="1"/>
      <c r="BAV53" s="1"/>
      <c r="BAW53" s="1"/>
      <c r="BAX53" s="1"/>
      <c r="BAY53" s="1"/>
      <c r="BAZ53" s="1"/>
      <c r="BBA53" s="1"/>
      <c r="BBB53" s="1"/>
      <c r="BBC53" s="1"/>
      <c r="BBD53" s="1"/>
      <c r="BBE53" s="1"/>
      <c r="BBF53" s="1"/>
      <c r="BBG53" s="1"/>
      <c r="BBH53" s="1"/>
      <c r="BBI53" s="1"/>
      <c r="BBJ53" s="1"/>
      <c r="BBK53" s="1"/>
      <c r="BBL53" s="1"/>
      <c r="BBM53" s="1"/>
      <c r="BBN53" s="1"/>
      <c r="BBO53" s="1"/>
      <c r="BBP53" s="1"/>
      <c r="BBQ53" s="1"/>
      <c r="BBR53" s="1"/>
      <c r="BBS53" s="1"/>
      <c r="BBT53" s="1"/>
      <c r="BBU53" s="1"/>
      <c r="BBV53" s="1"/>
      <c r="BBW53" s="1"/>
      <c r="BBX53" s="1"/>
      <c r="BBY53" s="1"/>
      <c r="BBZ53" s="1"/>
      <c r="BCA53" s="1"/>
      <c r="BCB53" s="1"/>
      <c r="BCC53" s="1"/>
      <c r="BCD53" s="1"/>
      <c r="BCE53" s="1"/>
      <c r="BCF53" s="1"/>
      <c r="BCG53" s="1"/>
      <c r="BCH53" s="1"/>
      <c r="BCI53" s="1"/>
      <c r="BCJ53" s="1"/>
      <c r="BCK53" s="1"/>
      <c r="BCL53" s="1"/>
      <c r="BCM53" s="1"/>
      <c r="BCN53" s="1"/>
      <c r="BCO53" s="1"/>
      <c r="BCP53" s="1"/>
      <c r="BCQ53" s="1"/>
      <c r="BCR53" s="1"/>
      <c r="BCS53" s="1"/>
      <c r="BCT53" s="1"/>
      <c r="BCU53" s="1"/>
      <c r="BCV53" s="1"/>
      <c r="BCW53" s="1"/>
      <c r="BCX53" s="1"/>
      <c r="BCY53" s="1"/>
      <c r="BCZ53" s="1"/>
      <c r="BDA53" s="1"/>
      <c r="BDB53" s="1"/>
      <c r="BDC53" s="1"/>
      <c r="BDD53" s="1"/>
      <c r="BDE53" s="1"/>
      <c r="BDF53" s="1"/>
      <c r="BDG53" s="1"/>
      <c r="BDH53" s="1"/>
      <c r="BDI53" s="1"/>
      <c r="BDJ53" s="1"/>
      <c r="BDK53" s="1"/>
      <c r="BDL53" s="1"/>
      <c r="BDM53" s="1"/>
      <c r="BDN53" s="1"/>
      <c r="BDO53" s="1"/>
      <c r="BDP53" s="1"/>
      <c r="BDQ53" s="1"/>
      <c r="BDR53" s="1"/>
      <c r="BDS53" s="1"/>
      <c r="BDT53" s="1"/>
      <c r="BDU53" s="1"/>
    </row>
    <row r="54" spans="1:1477" x14ac:dyDescent="0.35">
      <c r="A54" s="1">
        <v>900</v>
      </c>
      <c r="B54" s="1">
        <f t="shared" si="3"/>
        <v>9900</v>
      </c>
      <c r="C54" s="1" t="s">
        <v>18</v>
      </c>
      <c r="D54" s="12" t="s">
        <v>34</v>
      </c>
      <c r="E54" s="1">
        <v>24</v>
      </c>
      <c r="F54" s="1" t="s">
        <v>12</v>
      </c>
      <c r="G54" s="2">
        <f t="shared" si="2"/>
        <v>11</v>
      </c>
      <c r="H54" s="1">
        <v>-1</v>
      </c>
      <c r="I54" s="1"/>
      <c r="J54" s="1"/>
      <c r="K54" s="1"/>
      <c r="L54" s="1"/>
      <c r="M54" s="1">
        <v>-11</v>
      </c>
      <c r="N54" s="1"/>
      <c r="O54" s="1"/>
      <c r="P54" s="1">
        <v>12</v>
      </c>
      <c r="Q54" s="1"/>
      <c r="R54" s="1"/>
      <c r="S54" s="1"/>
      <c r="T54" s="1"/>
      <c r="U54" s="1"/>
      <c r="V54" s="1"/>
      <c r="W54" s="1"/>
      <c r="X54" s="1">
        <v>10</v>
      </c>
      <c r="Y54" s="1"/>
      <c r="Z54" s="1">
        <v>-24</v>
      </c>
      <c r="AA54" s="1"/>
      <c r="AB54" s="1"/>
      <c r="AC54" s="1">
        <v>10</v>
      </c>
      <c r="AD54" s="1"/>
      <c r="AE54" s="1"/>
      <c r="AF54" s="1">
        <v>-1</v>
      </c>
      <c r="AG54" s="1">
        <v>-3</v>
      </c>
      <c r="AH54" s="1"/>
      <c r="AI54" s="1">
        <v>-11</v>
      </c>
      <c r="AJ54" s="1"/>
      <c r="AK54" s="1">
        <v>10</v>
      </c>
      <c r="AL54" s="1"/>
      <c r="AM54" s="1"/>
      <c r="AN54" s="1"/>
      <c r="AO54" s="1"/>
      <c r="AP54" s="1">
        <v>-3</v>
      </c>
      <c r="AQ54" s="1">
        <v>-5</v>
      </c>
      <c r="AR54" s="1">
        <v>3</v>
      </c>
      <c r="AS54" s="1">
        <v>-3</v>
      </c>
      <c r="AT54" s="1">
        <v>-4</v>
      </c>
      <c r="AU54" s="1">
        <v>10</v>
      </c>
      <c r="AV54" s="1">
        <v>-3</v>
      </c>
      <c r="AW54" s="1">
        <v>-4</v>
      </c>
      <c r="AX54" s="1">
        <v>6</v>
      </c>
      <c r="AY54" s="1">
        <v>8</v>
      </c>
      <c r="AZ54" s="1">
        <v>-9</v>
      </c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  <c r="PL54" s="1"/>
      <c r="PM54" s="1"/>
      <c r="PN54" s="1"/>
      <c r="PO54" s="1"/>
      <c r="PP54" s="1"/>
      <c r="PQ54" s="1"/>
      <c r="PR54" s="1"/>
      <c r="PS54" s="1"/>
      <c r="PT54" s="1"/>
      <c r="PU54" s="1"/>
      <c r="PV54" s="1"/>
      <c r="PW54" s="1"/>
      <c r="PX54" s="1"/>
      <c r="PY54" s="1"/>
      <c r="PZ54" s="1"/>
      <c r="QA54" s="1"/>
      <c r="QB54" s="1"/>
      <c r="QC54" s="1"/>
      <c r="QD54" s="1"/>
      <c r="QE54" s="1"/>
      <c r="QF54" s="1"/>
      <c r="QG54" s="1"/>
      <c r="QH54" s="1"/>
      <c r="QI54" s="1"/>
      <c r="QJ54" s="1"/>
      <c r="QK54" s="1"/>
      <c r="QL54" s="1"/>
      <c r="QM54" s="1"/>
      <c r="QN54" s="1"/>
      <c r="QO54" s="1"/>
      <c r="QP54" s="1"/>
      <c r="QQ54" s="1"/>
      <c r="QR54" s="1"/>
      <c r="QS54" s="1"/>
      <c r="QT54" s="1"/>
      <c r="QU54" s="1"/>
      <c r="QV54" s="1"/>
      <c r="QW54" s="1"/>
      <c r="QX54" s="1"/>
      <c r="QY54" s="1"/>
      <c r="QZ54" s="1"/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/>
      <c r="SU54" s="1"/>
      <c r="SV54" s="1"/>
      <c r="SW54" s="1"/>
      <c r="SX54" s="1"/>
      <c r="SY54" s="1"/>
      <c r="SZ54" s="1"/>
      <c r="TA54" s="1"/>
      <c r="TB54" s="1"/>
      <c r="TC54" s="1"/>
      <c r="TD54" s="1"/>
      <c r="TE54" s="1"/>
      <c r="TF54" s="1"/>
      <c r="TG54" s="1"/>
      <c r="TH54" s="1"/>
      <c r="TI54" s="1"/>
      <c r="TJ54" s="1"/>
      <c r="TK54" s="1"/>
      <c r="TL54" s="1"/>
      <c r="TM54" s="1"/>
      <c r="TN54" s="1"/>
      <c r="TO54" s="1"/>
      <c r="TP54" s="1"/>
      <c r="TQ54" s="1"/>
      <c r="TR54" s="1"/>
      <c r="TS54" s="1"/>
      <c r="TT54" s="1"/>
      <c r="TU54" s="1"/>
      <c r="TV54" s="1"/>
      <c r="TW54" s="1"/>
      <c r="TX54" s="1"/>
      <c r="TY54" s="1"/>
      <c r="TZ54" s="1"/>
      <c r="UA54" s="1"/>
      <c r="UB54" s="1"/>
      <c r="UC54" s="1"/>
      <c r="UD54" s="1"/>
      <c r="UE54" s="1"/>
      <c r="UF54" s="1"/>
      <c r="UG54" s="1"/>
      <c r="UH54" s="1"/>
      <c r="UI54" s="1"/>
      <c r="UJ54" s="1"/>
      <c r="UK54" s="1"/>
      <c r="UL54" s="1"/>
      <c r="UM54" s="1"/>
      <c r="UN54" s="1"/>
      <c r="UO54" s="1"/>
      <c r="UP54" s="1"/>
      <c r="UQ54" s="1"/>
      <c r="UR54" s="1"/>
      <c r="US54" s="1"/>
      <c r="UT54" s="1"/>
      <c r="UU54" s="1"/>
      <c r="UV54" s="1"/>
      <c r="UW54" s="1"/>
      <c r="UX54" s="1"/>
      <c r="UY54" s="1"/>
      <c r="UZ54" s="1"/>
      <c r="VA54" s="1"/>
      <c r="VB54" s="1"/>
      <c r="VC54" s="1"/>
      <c r="VD54" s="1"/>
      <c r="VE54" s="1"/>
      <c r="VF54" s="1"/>
      <c r="VG54" s="1"/>
      <c r="VH54" s="1"/>
      <c r="VI54" s="1"/>
      <c r="VJ54" s="1"/>
      <c r="VK54" s="1"/>
      <c r="VL54" s="1"/>
      <c r="VM54" s="1"/>
      <c r="VN54" s="1"/>
      <c r="VO54" s="1"/>
      <c r="VP54" s="1"/>
      <c r="VQ54" s="1"/>
      <c r="VR54" s="1"/>
      <c r="VS54" s="1"/>
      <c r="VT54" s="1"/>
      <c r="VU54" s="1"/>
      <c r="VV54" s="1"/>
      <c r="VW54" s="1"/>
      <c r="VX54" s="1"/>
      <c r="VY54" s="1"/>
      <c r="VZ54" s="1"/>
      <c r="WA54" s="1"/>
      <c r="WB54" s="1"/>
      <c r="WC54" s="1"/>
      <c r="WD54" s="1"/>
      <c r="WE54" s="1"/>
      <c r="WF54" s="1"/>
      <c r="WG54" s="1"/>
      <c r="WH54" s="1"/>
      <c r="WI54" s="1"/>
      <c r="WJ54" s="1"/>
      <c r="WK54" s="1"/>
      <c r="WL54" s="1"/>
      <c r="WM54" s="1"/>
      <c r="WN54" s="1"/>
      <c r="WO54" s="1"/>
      <c r="WP54" s="1"/>
      <c r="WQ54" s="1"/>
      <c r="WR54" s="1"/>
      <c r="WS54" s="1"/>
      <c r="WT54" s="1"/>
      <c r="WU54" s="1"/>
      <c r="WV54" s="1"/>
      <c r="WW54" s="1"/>
      <c r="WX54" s="1"/>
      <c r="WY54" s="1"/>
      <c r="WZ54" s="1"/>
      <c r="XA54" s="1"/>
      <c r="XB54" s="1"/>
      <c r="XC54" s="1"/>
      <c r="XD54" s="1"/>
      <c r="XE54" s="1"/>
      <c r="XF54" s="1"/>
      <c r="XG54" s="1"/>
      <c r="XH54" s="1"/>
      <c r="XI54" s="1"/>
      <c r="XJ54" s="1"/>
      <c r="XK54" s="1"/>
      <c r="XL54" s="1"/>
      <c r="XM54" s="1"/>
      <c r="XN54" s="1"/>
      <c r="XO54" s="1"/>
      <c r="XP54" s="1"/>
      <c r="XQ54" s="1"/>
      <c r="XR54" s="1"/>
      <c r="XS54" s="1"/>
      <c r="XT54" s="1"/>
      <c r="XU54" s="1"/>
      <c r="XV54" s="1"/>
      <c r="XW54" s="1"/>
      <c r="XX54" s="1"/>
      <c r="XY54" s="1"/>
      <c r="XZ54" s="1"/>
      <c r="YA54" s="1"/>
      <c r="YB54" s="1"/>
      <c r="YC54" s="1"/>
      <c r="YD54" s="1"/>
      <c r="YE54" s="1"/>
      <c r="YF54" s="1"/>
      <c r="YG54" s="1"/>
      <c r="YH54" s="1"/>
      <c r="YI54" s="1"/>
      <c r="YJ54" s="1"/>
      <c r="YK54" s="1"/>
      <c r="YL54" s="1"/>
      <c r="YM54" s="1"/>
      <c r="YN54" s="1"/>
      <c r="YO54" s="1"/>
      <c r="YP54" s="1"/>
      <c r="YQ54" s="1"/>
      <c r="YR54" s="1"/>
      <c r="YS54" s="1"/>
      <c r="YT54" s="1"/>
      <c r="YU54" s="1"/>
      <c r="YV54" s="1"/>
      <c r="YW54" s="1"/>
      <c r="YX54" s="1"/>
      <c r="YY54" s="1"/>
      <c r="YZ54" s="1"/>
      <c r="ZA54" s="1"/>
      <c r="ZB54" s="1"/>
      <c r="ZC54" s="1"/>
      <c r="ZD54" s="1"/>
      <c r="ZE54" s="1"/>
      <c r="ZF54" s="1"/>
      <c r="ZG54" s="1"/>
      <c r="ZH54" s="1"/>
      <c r="ZI54" s="1"/>
      <c r="ZJ54" s="1"/>
      <c r="ZK54" s="1"/>
      <c r="ZL54" s="1"/>
      <c r="ZM54" s="1"/>
      <c r="ZN54" s="1"/>
      <c r="ZO54" s="1"/>
      <c r="ZP54" s="1"/>
      <c r="ZQ54" s="1"/>
      <c r="ZR54" s="1"/>
      <c r="ZS54" s="1"/>
      <c r="ZT54" s="1"/>
      <c r="ZU54" s="1"/>
      <c r="ZV54" s="1"/>
      <c r="ZW54" s="1"/>
      <c r="ZX54" s="1"/>
      <c r="ZY54" s="1"/>
      <c r="ZZ54" s="1"/>
      <c r="AAA54" s="1"/>
      <c r="AAB54" s="1"/>
      <c r="AAC54" s="1"/>
      <c r="AAD54" s="1"/>
      <c r="AAE54" s="1"/>
      <c r="AAF54" s="1"/>
      <c r="AAG54" s="1"/>
      <c r="AAH54" s="1"/>
      <c r="AAI54" s="1"/>
      <c r="AAJ54" s="1"/>
      <c r="AAK54" s="1"/>
      <c r="AAL54" s="1"/>
      <c r="AAM54" s="1"/>
      <c r="AAN54" s="1"/>
      <c r="AAO54" s="1"/>
      <c r="AAP54" s="1"/>
      <c r="AAQ54" s="1"/>
      <c r="AAR54" s="1"/>
      <c r="AAS54" s="1"/>
      <c r="AAT54" s="1"/>
      <c r="AAU54" s="1"/>
      <c r="AAV54" s="1"/>
      <c r="AAW54" s="1"/>
      <c r="AAX54" s="1"/>
      <c r="AAY54" s="1"/>
      <c r="AAZ54" s="1"/>
      <c r="ABA54" s="1"/>
      <c r="ABB54" s="1"/>
      <c r="ABC54" s="1"/>
      <c r="ABD54" s="1"/>
      <c r="ABE54" s="1"/>
      <c r="ABF54" s="1"/>
      <c r="ABG54" s="1"/>
      <c r="ABH54" s="1"/>
      <c r="ABI54" s="1"/>
      <c r="ABJ54" s="1"/>
      <c r="ABK54" s="1"/>
      <c r="ABL54" s="1"/>
      <c r="ABM54" s="1"/>
      <c r="ABN54" s="1"/>
      <c r="ABO54" s="1"/>
      <c r="ABP54" s="1"/>
      <c r="ABQ54" s="1"/>
      <c r="ABR54" s="1"/>
      <c r="ABS54" s="1"/>
      <c r="ABT54" s="1"/>
      <c r="ABU54" s="1"/>
      <c r="ABV54" s="1"/>
      <c r="ABW54" s="1"/>
      <c r="ABX54" s="1"/>
      <c r="ABY54" s="1"/>
      <c r="ABZ54" s="1"/>
      <c r="ACA54" s="1"/>
      <c r="ACB54" s="1"/>
      <c r="ACC54" s="1"/>
      <c r="ACD54" s="1"/>
      <c r="ACE54" s="1"/>
      <c r="ACF54" s="1"/>
      <c r="ACG54" s="1"/>
      <c r="ACH54" s="1"/>
      <c r="ACI54" s="1"/>
      <c r="ACJ54" s="1"/>
      <c r="ACK54" s="1"/>
      <c r="ACL54" s="1"/>
      <c r="ACM54" s="1"/>
      <c r="ACN54" s="1"/>
      <c r="ACO54" s="1"/>
      <c r="ACP54" s="1"/>
      <c r="ACQ54" s="1"/>
      <c r="ACR54" s="1"/>
      <c r="ACS54" s="1"/>
      <c r="ACT54" s="1"/>
      <c r="ACU54" s="1"/>
      <c r="ACV54" s="1"/>
      <c r="ACW54" s="1"/>
      <c r="ACX54" s="1"/>
      <c r="ACY54" s="1"/>
      <c r="ACZ54" s="1"/>
      <c r="ADA54" s="1"/>
      <c r="ADB54" s="1"/>
      <c r="ADC54" s="1"/>
      <c r="ADD54" s="1"/>
      <c r="ADE54" s="1"/>
      <c r="ADF54" s="1"/>
      <c r="ADG54" s="1"/>
      <c r="ADH54" s="1"/>
      <c r="ADI54" s="1"/>
      <c r="ADJ54" s="1"/>
      <c r="ADK54" s="1"/>
      <c r="ADL54" s="1"/>
      <c r="ADM54" s="1"/>
      <c r="ADN54" s="1"/>
      <c r="ADO54" s="1"/>
      <c r="ADP54" s="1"/>
      <c r="ADQ54" s="1"/>
      <c r="ADR54" s="1"/>
      <c r="ADS54" s="1"/>
      <c r="ADT54" s="1"/>
      <c r="ADU54" s="1"/>
      <c r="ADV54" s="1"/>
      <c r="ADW54" s="1"/>
      <c r="ADX54" s="1"/>
      <c r="ADY54" s="1"/>
      <c r="ADZ54" s="1"/>
      <c r="AEA54" s="1"/>
      <c r="AEB54" s="1"/>
      <c r="AEC54" s="1"/>
      <c r="AED54" s="1"/>
      <c r="AEE54" s="1"/>
      <c r="AEF54" s="1"/>
      <c r="AEG54" s="1"/>
      <c r="AEH54" s="1"/>
      <c r="AEI54" s="1"/>
      <c r="AEJ54" s="1"/>
      <c r="AEK54" s="1"/>
      <c r="AEL54" s="1"/>
      <c r="AEM54" s="1"/>
      <c r="AEN54" s="1"/>
      <c r="AEO54" s="1"/>
      <c r="AEP54" s="1"/>
      <c r="AEQ54" s="1"/>
      <c r="AER54" s="1"/>
      <c r="AES54" s="1"/>
      <c r="AET54" s="1"/>
      <c r="AEU54" s="1"/>
      <c r="AEV54" s="1"/>
      <c r="AEW54" s="1"/>
      <c r="AEX54" s="1"/>
      <c r="AEY54" s="1"/>
      <c r="AEZ54" s="1"/>
      <c r="AFA54" s="1"/>
      <c r="AFB54" s="1"/>
      <c r="AFC54" s="1"/>
      <c r="AFD54" s="1"/>
      <c r="AFE54" s="1"/>
      <c r="AFF54" s="1"/>
      <c r="AFG54" s="1"/>
      <c r="AFH54" s="1"/>
      <c r="AFI54" s="1"/>
      <c r="AFJ54" s="1"/>
      <c r="AFK54" s="1"/>
      <c r="AFL54" s="1"/>
      <c r="AFM54" s="1"/>
      <c r="AFN54" s="1"/>
      <c r="AFO54" s="1"/>
      <c r="AFP54" s="1"/>
      <c r="AFQ54" s="1"/>
      <c r="AFR54" s="1"/>
      <c r="AFS54" s="1"/>
      <c r="AFT54" s="1"/>
      <c r="AFU54" s="1"/>
      <c r="AFV54" s="1"/>
      <c r="AFW54" s="1"/>
      <c r="AFX54" s="1"/>
      <c r="AFY54" s="1"/>
      <c r="AFZ54" s="1"/>
      <c r="AGA54" s="1"/>
      <c r="AGB54" s="1"/>
      <c r="AGC54" s="1"/>
      <c r="AGD54" s="1"/>
      <c r="AGE54" s="1"/>
      <c r="AGF54" s="1"/>
      <c r="AGG54" s="1"/>
      <c r="AGH54" s="1"/>
      <c r="AGI54" s="1"/>
      <c r="AGJ54" s="1"/>
      <c r="AGK54" s="1"/>
      <c r="AGL54" s="1"/>
      <c r="AGM54" s="1"/>
      <c r="AGN54" s="1"/>
      <c r="AGO54" s="1"/>
      <c r="AGP54" s="1"/>
      <c r="AGQ54" s="1"/>
      <c r="AGR54" s="1"/>
      <c r="AGS54" s="1"/>
      <c r="AGT54" s="1"/>
      <c r="AGU54" s="1"/>
      <c r="AGV54" s="1"/>
      <c r="AGW54" s="1"/>
      <c r="AGX54" s="1"/>
      <c r="AGY54" s="1"/>
      <c r="AGZ54" s="1"/>
      <c r="AHA54" s="1"/>
      <c r="AHB54" s="1"/>
      <c r="AHC54" s="1"/>
      <c r="AHD54" s="1"/>
      <c r="AHE54" s="1"/>
      <c r="AHF54" s="1"/>
      <c r="AHG54" s="1"/>
      <c r="AHH54" s="1"/>
      <c r="AHI54" s="1"/>
      <c r="AHJ54" s="1"/>
      <c r="AHK54" s="1"/>
      <c r="AHL54" s="1"/>
      <c r="AHM54" s="1"/>
      <c r="AHN54" s="1"/>
      <c r="AHO54" s="1"/>
      <c r="AHP54" s="1"/>
      <c r="AHQ54" s="1"/>
      <c r="AHR54" s="1"/>
      <c r="AHS54" s="1"/>
      <c r="AHT54" s="1"/>
      <c r="AHU54" s="1"/>
      <c r="AHV54" s="1"/>
      <c r="AHW54" s="1"/>
      <c r="AHX54" s="1"/>
      <c r="AHY54" s="1"/>
      <c r="AHZ54" s="1"/>
      <c r="AIA54" s="1"/>
      <c r="AIB54" s="1"/>
      <c r="AIC54" s="1"/>
      <c r="AID54" s="1"/>
      <c r="AIE54" s="1"/>
      <c r="AIF54" s="1"/>
      <c r="AIG54" s="1"/>
      <c r="AIH54" s="1"/>
      <c r="AII54" s="1"/>
      <c r="AIJ54" s="1"/>
      <c r="AIK54" s="1"/>
      <c r="AIL54" s="1"/>
      <c r="AIM54" s="1"/>
      <c r="AIN54" s="1"/>
      <c r="AIO54" s="1"/>
      <c r="AIP54" s="1"/>
      <c r="AIQ54" s="1"/>
      <c r="AIR54" s="1"/>
      <c r="AIS54" s="1"/>
      <c r="AIT54" s="1"/>
      <c r="AIU54" s="1"/>
      <c r="AIV54" s="1"/>
      <c r="AIW54" s="1"/>
      <c r="AIX54" s="1"/>
      <c r="AIY54" s="1"/>
      <c r="AIZ54" s="1"/>
      <c r="AJA54" s="1"/>
      <c r="AJB54" s="1"/>
      <c r="AJC54" s="1"/>
      <c r="AJD54" s="1"/>
      <c r="AJE54" s="1"/>
      <c r="AJF54" s="1"/>
      <c r="AJG54" s="1"/>
      <c r="AJH54" s="1"/>
      <c r="AJI54" s="1"/>
      <c r="AJJ54" s="1"/>
      <c r="AJK54" s="1"/>
      <c r="AJL54" s="1"/>
      <c r="AJM54" s="1"/>
      <c r="AJN54" s="1"/>
      <c r="AJO54" s="1"/>
      <c r="AJP54" s="1"/>
      <c r="AJQ54" s="1"/>
      <c r="AJR54" s="1"/>
      <c r="AJS54" s="1"/>
      <c r="AJT54" s="1"/>
      <c r="AJU54" s="1"/>
      <c r="AJV54" s="1"/>
      <c r="AJW54" s="1"/>
      <c r="AJX54" s="1"/>
      <c r="AJY54" s="1"/>
      <c r="AJZ54" s="1"/>
      <c r="AKA54" s="1"/>
      <c r="AKB54" s="1"/>
      <c r="AKC54" s="1"/>
      <c r="AKD54" s="1"/>
      <c r="AKE54" s="1"/>
      <c r="AKF54" s="1"/>
      <c r="AKG54" s="1"/>
      <c r="AKH54" s="1"/>
      <c r="AKI54" s="1"/>
      <c r="AKJ54" s="1"/>
      <c r="AKK54" s="1"/>
      <c r="AKL54" s="1"/>
      <c r="AKM54" s="1"/>
      <c r="AKN54" s="1"/>
      <c r="AKO54" s="1"/>
      <c r="AKP54" s="1"/>
      <c r="AKQ54" s="1"/>
      <c r="AKR54" s="1"/>
      <c r="AKS54" s="1"/>
      <c r="AKT54" s="1"/>
      <c r="AKU54" s="1"/>
      <c r="AKV54" s="1"/>
      <c r="AKW54" s="1"/>
      <c r="AKX54" s="1"/>
      <c r="AKY54" s="1"/>
      <c r="AKZ54" s="1"/>
      <c r="ALA54" s="1"/>
      <c r="ALB54" s="1"/>
      <c r="ALC54" s="1"/>
      <c r="ALD54" s="1"/>
      <c r="ALE54" s="1"/>
      <c r="ALF54" s="1"/>
      <c r="ALG54" s="1"/>
      <c r="ALH54" s="1"/>
      <c r="ALI54" s="1"/>
      <c r="ALJ54" s="1"/>
      <c r="ALK54" s="1"/>
      <c r="ALL54" s="1"/>
      <c r="ALM54" s="1"/>
      <c r="ALN54" s="1"/>
      <c r="ALO54" s="1"/>
      <c r="ALP54" s="1"/>
      <c r="ALQ54" s="1"/>
      <c r="ALR54" s="1"/>
      <c r="ALS54" s="1"/>
      <c r="ALT54" s="1"/>
      <c r="ALU54" s="1"/>
      <c r="ALV54" s="1"/>
      <c r="ALW54" s="1"/>
      <c r="ALX54" s="1"/>
      <c r="ALY54" s="1"/>
      <c r="ALZ54" s="1"/>
      <c r="AMA54" s="1"/>
      <c r="AMB54" s="1"/>
      <c r="AMC54" s="1"/>
      <c r="AMD54" s="1"/>
      <c r="AME54" s="1"/>
      <c r="AMF54" s="1"/>
      <c r="AMG54" s="1"/>
      <c r="AMH54" s="1"/>
      <c r="AMI54" s="1"/>
      <c r="AMJ54" s="1"/>
      <c r="AMK54" s="1"/>
      <c r="AML54" s="1"/>
      <c r="AMM54" s="1"/>
      <c r="AMN54" s="1"/>
      <c r="AMO54" s="1"/>
      <c r="AMP54" s="1"/>
      <c r="AMQ54" s="1"/>
      <c r="AMR54" s="1"/>
      <c r="AMS54" s="1"/>
      <c r="AMT54" s="1"/>
      <c r="AMU54" s="1"/>
      <c r="AMV54" s="1"/>
      <c r="AMW54" s="1"/>
      <c r="AMX54" s="1"/>
      <c r="AMY54" s="1"/>
      <c r="AMZ54" s="1"/>
      <c r="ANA54" s="1"/>
      <c r="ANB54" s="1"/>
      <c r="ANC54" s="1"/>
      <c r="AND54" s="1"/>
      <c r="ANE54" s="1"/>
      <c r="ANF54" s="1"/>
      <c r="ANG54" s="1"/>
      <c r="ANH54" s="1"/>
      <c r="ANI54" s="1"/>
      <c r="ANJ54" s="1"/>
      <c r="ANK54" s="1"/>
      <c r="ANL54" s="1"/>
      <c r="ANM54" s="1"/>
      <c r="ANN54" s="1"/>
      <c r="ANO54" s="1"/>
      <c r="ANP54" s="1"/>
      <c r="ANQ54" s="1"/>
      <c r="ANR54" s="1"/>
      <c r="ANS54" s="1"/>
      <c r="ANT54" s="1"/>
      <c r="ANU54" s="1"/>
      <c r="ANV54" s="1"/>
      <c r="ANW54" s="1"/>
      <c r="ANX54" s="1"/>
      <c r="ANY54" s="1"/>
      <c r="ANZ54" s="1"/>
      <c r="AOA54" s="1"/>
      <c r="AOB54" s="1"/>
      <c r="AOC54" s="1"/>
      <c r="AOD54" s="1"/>
      <c r="AOE54" s="1"/>
      <c r="AOF54" s="1"/>
      <c r="AOG54" s="1"/>
      <c r="AOH54" s="1"/>
      <c r="AOI54" s="1"/>
      <c r="AOJ54" s="1"/>
      <c r="AOK54" s="1"/>
      <c r="AOL54" s="1"/>
      <c r="AOM54" s="1"/>
      <c r="AON54" s="1"/>
      <c r="AOO54" s="1"/>
      <c r="AOP54" s="1"/>
      <c r="AOQ54" s="1"/>
      <c r="AOR54" s="1"/>
      <c r="AOS54" s="1"/>
      <c r="AOT54" s="1"/>
      <c r="AOU54" s="1"/>
      <c r="AOV54" s="1"/>
      <c r="AOW54" s="1"/>
      <c r="AOX54" s="1"/>
      <c r="AOY54" s="1"/>
      <c r="AOZ54" s="1"/>
      <c r="APA54" s="1"/>
      <c r="APB54" s="1"/>
      <c r="APC54" s="1"/>
      <c r="APD54" s="1"/>
      <c r="APE54" s="1"/>
      <c r="APF54" s="1"/>
      <c r="APG54" s="1"/>
      <c r="APH54" s="1"/>
      <c r="API54" s="1"/>
      <c r="APJ54" s="1"/>
      <c r="APK54" s="1"/>
      <c r="APL54" s="1"/>
      <c r="APM54" s="1"/>
      <c r="APN54" s="1"/>
      <c r="APO54" s="1"/>
      <c r="APP54" s="1"/>
      <c r="APQ54" s="1"/>
      <c r="APR54" s="1"/>
      <c r="APS54" s="1"/>
      <c r="APT54" s="1"/>
      <c r="APU54" s="1"/>
      <c r="APV54" s="1"/>
      <c r="APW54" s="1"/>
      <c r="APX54" s="1"/>
      <c r="APY54" s="1"/>
      <c r="APZ54" s="1"/>
      <c r="AQA54" s="1"/>
      <c r="AQB54" s="1"/>
      <c r="AQC54" s="1"/>
      <c r="AQD54" s="1"/>
      <c r="AQE54" s="1"/>
      <c r="AQF54" s="1"/>
      <c r="AQG54" s="1"/>
      <c r="AQH54" s="1"/>
      <c r="AQI54" s="1"/>
      <c r="AQJ54" s="1"/>
      <c r="AQK54" s="1"/>
      <c r="AQL54" s="1"/>
      <c r="AQM54" s="1"/>
      <c r="AQN54" s="1"/>
      <c r="AQO54" s="1"/>
      <c r="AQP54" s="1"/>
      <c r="AQQ54" s="1"/>
      <c r="AQR54" s="1"/>
      <c r="AQS54" s="1"/>
      <c r="AQT54" s="1"/>
      <c r="AQU54" s="1"/>
      <c r="AQV54" s="1"/>
      <c r="AQW54" s="1"/>
      <c r="AQX54" s="1"/>
      <c r="AQY54" s="1"/>
      <c r="AQZ54" s="1"/>
      <c r="ARA54" s="1"/>
      <c r="ARB54" s="1"/>
      <c r="ARC54" s="1"/>
      <c r="ARD54" s="1"/>
      <c r="ARE54" s="1"/>
      <c r="ARF54" s="1"/>
      <c r="ARG54" s="1"/>
      <c r="ARH54" s="1"/>
      <c r="ARI54" s="1"/>
      <c r="ARJ54" s="1"/>
      <c r="ARK54" s="1"/>
      <c r="ARL54" s="1"/>
      <c r="ARM54" s="1"/>
      <c r="ARN54" s="1"/>
      <c r="ARO54" s="1"/>
      <c r="ARP54" s="1"/>
      <c r="ARQ54" s="1"/>
      <c r="ARR54" s="1"/>
      <c r="ARS54" s="1"/>
      <c r="ART54" s="1"/>
      <c r="ARU54" s="1"/>
      <c r="ARV54" s="1"/>
      <c r="ARW54" s="1"/>
      <c r="ARX54" s="1"/>
      <c r="ARY54" s="1"/>
      <c r="ARZ54" s="1"/>
      <c r="ASA54" s="1"/>
      <c r="ASB54" s="1"/>
      <c r="ASC54" s="1"/>
      <c r="ASD54" s="1"/>
      <c r="ASE54" s="1"/>
      <c r="ASF54" s="1"/>
      <c r="ASG54" s="1"/>
      <c r="ASH54" s="1"/>
      <c r="ASI54" s="1"/>
      <c r="ASJ54" s="1"/>
      <c r="ASK54" s="1"/>
      <c r="ASL54" s="1"/>
      <c r="ASM54" s="1"/>
      <c r="ASN54" s="1"/>
      <c r="ASO54" s="1"/>
      <c r="ASP54" s="1"/>
      <c r="ASQ54" s="1"/>
      <c r="ASR54" s="1"/>
      <c r="ASS54" s="1"/>
      <c r="AST54" s="1"/>
      <c r="ASU54" s="1"/>
      <c r="ASV54" s="1"/>
      <c r="ASW54" s="1"/>
      <c r="ASX54" s="1"/>
      <c r="ASY54" s="1"/>
      <c r="ASZ54" s="1"/>
      <c r="ATA54" s="1"/>
      <c r="ATB54" s="1"/>
      <c r="ATC54" s="1"/>
      <c r="ATD54" s="1"/>
      <c r="ATE54" s="1"/>
      <c r="ATF54" s="1"/>
      <c r="ATG54" s="1"/>
      <c r="ATH54" s="1"/>
      <c r="ATI54" s="1"/>
      <c r="ATJ54" s="1"/>
      <c r="ATK54" s="1"/>
      <c r="ATL54" s="1"/>
      <c r="ATM54" s="1"/>
      <c r="ATN54" s="1"/>
      <c r="ATO54" s="1"/>
      <c r="ATP54" s="1"/>
      <c r="ATQ54" s="1"/>
      <c r="ATR54" s="1"/>
      <c r="ATS54" s="1"/>
      <c r="ATT54" s="1"/>
      <c r="ATU54" s="1"/>
      <c r="ATV54" s="1"/>
      <c r="ATW54" s="1"/>
      <c r="ATX54" s="1"/>
      <c r="ATY54" s="1"/>
      <c r="ATZ54" s="1"/>
      <c r="AUA54" s="1"/>
      <c r="AUB54" s="1"/>
      <c r="AUC54" s="1"/>
      <c r="AUD54" s="1"/>
      <c r="AUE54" s="1"/>
      <c r="AUF54" s="1"/>
      <c r="AUG54" s="1"/>
      <c r="AUH54" s="1"/>
      <c r="AUI54" s="1"/>
      <c r="AUJ54" s="1"/>
      <c r="AUK54" s="1"/>
      <c r="AUL54" s="1"/>
      <c r="AUM54" s="1"/>
      <c r="AUN54" s="1"/>
      <c r="AUO54" s="1"/>
      <c r="AUP54" s="1"/>
      <c r="AUQ54" s="1"/>
      <c r="AUR54" s="1"/>
      <c r="AUS54" s="1"/>
      <c r="AUT54" s="1"/>
      <c r="AUU54" s="1"/>
      <c r="AUV54" s="1"/>
      <c r="AUW54" s="1"/>
      <c r="AUX54" s="1"/>
      <c r="AUY54" s="1"/>
      <c r="AUZ54" s="1"/>
      <c r="AVA54" s="1"/>
      <c r="AVB54" s="1"/>
      <c r="AVC54" s="1"/>
      <c r="AVD54" s="1"/>
      <c r="AVE54" s="1"/>
      <c r="AVF54" s="1"/>
      <c r="AVG54" s="1"/>
      <c r="AVH54" s="1"/>
      <c r="AVI54" s="1"/>
      <c r="AVJ54" s="1"/>
      <c r="AVK54" s="1"/>
      <c r="AVL54" s="1"/>
      <c r="AVM54" s="1"/>
      <c r="AVN54" s="1"/>
      <c r="AVO54" s="1"/>
      <c r="AVP54" s="1"/>
      <c r="AVQ54" s="1"/>
      <c r="AVR54" s="1"/>
      <c r="AVS54" s="1"/>
      <c r="AVT54" s="1"/>
      <c r="AVU54" s="1"/>
      <c r="AVV54" s="1"/>
      <c r="AVW54" s="1"/>
      <c r="AVX54" s="1"/>
      <c r="AVY54" s="1"/>
      <c r="AVZ54" s="1"/>
      <c r="AWA54" s="1"/>
      <c r="AWB54" s="1"/>
      <c r="AWC54" s="1"/>
      <c r="AWD54" s="1"/>
      <c r="AWE54" s="1"/>
      <c r="AWF54" s="1"/>
      <c r="AWG54" s="1"/>
      <c r="AWH54" s="1"/>
      <c r="AWI54" s="1"/>
      <c r="AWJ54" s="1"/>
      <c r="AWK54" s="1"/>
      <c r="AWL54" s="1"/>
      <c r="AWM54" s="1"/>
      <c r="AWN54" s="1"/>
      <c r="AWO54" s="1"/>
      <c r="AWP54" s="1"/>
      <c r="AWQ54" s="1"/>
      <c r="AWR54" s="1"/>
      <c r="AWS54" s="1"/>
      <c r="AWT54" s="1"/>
      <c r="AWU54" s="1"/>
      <c r="AWV54" s="1"/>
      <c r="AWW54" s="1"/>
      <c r="AWX54" s="1"/>
      <c r="AWY54" s="1"/>
      <c r="AWZ54" s="1"/>
      <c r="AXA54" s="1"/>
      <c r="AXB54" s="1"/>
      <c r="AXC54" s="1"/>
      <c r="AXD54" s="1"/>
      <c r="AXE54" s="1"/>
      <c r="AXF54" s="1"/>
      <c r="AXG54" s="1"/>
      <c r="AXH54" s="1"/>
      <c r="AXI54" s="1"/>
      <c r="AXJ54" s="1"/>
      <c r="AXK54" s="1"/>
      <c r="AXL54" s="1"/>
      <c r="AXM54" s="1"/>
      <c r="AXN54" s="1"/>
      <c r="AXO54" s="1"/>
      <c r="AXP54" s="1"/>
      <c r="AXQ54" s="1"/>
      <c r="AXR54" s="1"/>
      <c r="AXS54" s="1"/>
      <c r="AXT54" s="1"/>
      <c r="AXU54" s="1"/>
      <c r="AXV54" s="1"/>
      <c r="AXW54" s="1"/>
      <c r="AXX54" s="1"/>
      <c r="AXY54" s="1"/>
      <c r="AXZ54" s="1"/>
      <c r="AYA54" s="1"/>
      <c r="AYB54" s="1"/>
      <c r="AYC54" s="1"/>
      <c r="AYD54" s="1"/>
      <c r="AYE54" s="1"/>
      <c r="AYF54" s="1"/>
      <c r="AYG54" s="1"/>
      <c r="AYH54" s="1"/>
      <c r="AYI54" s="1"/>
      <c r="AYJ54" s="1"/>
      <c r="AYK54" s="1"/>
      <c r="AYL54" s="1"/>
      <c r="AYM54" s="1"/>
      <c r="AYN54" s="1"/>
      <c r="AYO54" s="1"/>
      <c r="AYP54" s="1"/>
      <c r="AYQ54" s="1"/>
      <c r="AYR54" s="1"/>
      <c r="AYS54" s="1"/>
      <c r="AYT54" s="1"/>
      <c r="AYU54" s="1"/>
      <c r="AYV54" s="1"/>
      <c r="AYW54" s="1"/>
      <c r="AYX54" s="1"/>
      <c r="AYY54" s="1"/>
      <c r="AYZ54" s="1"/>
      <c r="AZA54" s="1"/>
      <c r="AZB54" s="1"/>
      <c r="AZC54" s="1"/>
      <c r="AZD54" s="1"/>
      <c r="AZE54" s="1"/>
      <c r="AZF54" s="1"/>
      <c r="AZG54" s="1"/>
      <c r="AZH54" s="1"/>
      <c r="AZI54" s="1"/>
      <c r="AZJ54" s="1"/>
      <c r="AZK54" s="1"/>
      <c r="AZL54" s="1"/>
      <c r="AZM54" s="1"/>
      <c r="AZN54" s="1"/>
      <c r="AZO54" s="1"/>
      <c r="AZP54" s="1"/>
      <c r="AZQ54" s="1"/>
      <c r="AZR54" s="1"/>
      <c r="AZS54" s="1"/>
      <c r="AZT54" s="1"/>
      <c r="AZU54" s="1"/>
      <c r="AZV54" s="1"/>
      <c r="AZW54" s="1"/>
      <c r="AZX54" s="1"/>
      <c r="AZY54" s="1"/>
      <c r="AZZ54" s="1"/>
      <c r="BAA54" s="1"/>
      <c r="BAB54" s="1"/>
      <c r="BAC54" s="1"/>
      <c r="BAD54" s="1"/>
      <c r="BAE54" s="1"/>
      <c r="BAF54" s="1"/>
      <c r="BAG54" s="1"/>
      <c r="BAH54" s="1"/>
      <c r="BAI54" s="1"/>
      <c r="BAJ54" s="1"/>
      <c r="BAK54" s="1"/>
      <c r="BAL54" s="1"/>
      <c r="BAM54" s="1"/>
      <c r="BAN54" s="1"/>
      <c r="BAO54" s="1"/>
      <c r="BAP54" s="1"/>
      <c r="BAQ54" s="1"/>
      <c r="BAR54" s="1"/>
      <c r="BAS54" s="1"/>
      <c r="BAT54" s="1"/>
      <c r="BAU54" s="1"/>
      <c r="BAV54" s="1"/>
      <c r="BAW54" s="1"/>
      <c r="BAX54" s="1"/>
      <c r="BAY54" s="1"/>
      <c r="BAZ54" s="1"/>
      <c r="BBA54" s="1"/>
      <c r="BBB54" s="1"/>
      <c r="BBC54" s="1"/>
      <c r="BBD54" s="1"/>
      <c r="BBE54" s="1"/>
      <c r="BBF54" s="1"/>
      <c r="BBG54" s="1"/>
      <c r="BBH54" s="1"/>
      <c r="BBI54" s="1"/>
      <c r="BBJ54" s="1"/>
      <c r="BBK54" s="1"/>
      <c r="BBL54" s="1"/>
      <c r="BBM54" s="1"/>
      <c r="BBN54" s="1"/>
      <c r="BBO54" s="1"/>
      <c r="BBP54" s="1"/>
      <c r="BBQ54" s="1"/>
      <c r="BBR54" s="1"/>
      <c r="BBS54" s="1"/>
      <c r="BBT54" s="1"/>
      <c r="BBU54" s="1"/>
      <c r="BBV54" s="1"/>
      <c r="BBW54" s="1"/>
      <c r="BBX54" s="1"/>
      <c r="BBY54" s="1"/>
      <c r="BBZ54" s="1"/>
      <c r="BCA54" s="1"/>
      <c r="BCB54" s="1"/>
      <c r="BCC54" s="1"/>
      <c r="BCD54" s="1"/>
      <c r="BCE54" s="1"/>
      <c r="BCF54" s="1"/>
      <c r="BCG54" s="1"/>
      <c r="BCH54" s="1"/>
      <c r="BCI54" s="1"/>
      <c r="BCJ54" s="1"/>
      <c r="BCK54" s="1"/>
      <c r="BCL54" s="1"/>
      <c r="BCM54" s="1"/>
      <c r="BCN54" s="1"/>
      <c r="BCO54" s="1"/>
      <c r="BCP54" s="1"/>
      <c r="BCQ54" s="1"/>
      <c r="BCR54" s="1"/>
      <c r="BCS54" s="1"/>
      <c r="BCT54" s="1"/>
      <c r="BCU54" s="1"/>
      <c r="BCV54" s="1"/>
      <c r="BCW54" s="1"/>
      <c r="BCX54" s="1"/>
      <c r="BCY54" s="1"/>
      <c r="BCZ54" s="1"/>
      <c r="BDA54" s="1"/>
      <c r="BDB54" s="1"/>
      <c r="BDC54" s="1"/>
      <c r="BDD54" s="1"/>
      <c r="BDE54" s="1"/>
      <c r="BDF54" s="1"/>
      <c r="BDG54" s="1"/>
      <c r="BDH54" s="1"/>
      <c r="BDI54" s="1"/>
      <c r="BDJ54" s="1"/>
      <c r="BDK54" s="1"/>
      <c r="BDL54" s="1"/>
      <c r="BDM54" s="1"/>
      <c r="BDN54" s="1"/>
      <c r="BDO54" s="1"/>
      <c r="BDP54" s="1"/>
      <c r="BDQ54" s="1"/>
      <c r="BDR54" s="1"/>
      <c r="BDS54" s="1"/>
      <c r="BDT54" s="1"/>
      <c r="BDU54" s="1"/>
    </row>
    <row r="55" spans="1:1477" x14ac:dyDescent="0.35">
      <c r="A55" s="9">
        <v>1700</v>
      </c>
      <c r="B55" s="9">
        <f t="shared" si="3"/>
        <v>29240</v>
      </c>
      <c r="C55" s="9" t="s">
        <v>18</v>
      </c>
      <c r="D55" s="13" t="s">
        <v>4</v>
      </c>
      <c r="E55" s="9">
        <v>18</v>
      </c>
      <c r="F55" s="9" t="s">
        <v>9</v>
      </c>
      <c r="G55" s="10">
        <f t="shared" si="2"/>
        <v>17.2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>
        <v>18</v>
      </c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>
        <v>-7</v>
      </c>
      <c r="AG55" s="9"/>
      <c r="AH55" s="9">
        <v>-10</v>
      </c>
      <c r="AI55" s="9"/>
      <c r="AJ55" s="9"/>
      <c r="AK55" s="9"/>
      <c r="AL55" s="9"/>
      <c r="AM55" s="9"/>
      <c r="AN55" s="9">
        <v>15</v>
      </c>
      <c r="AO55" s="9"/>
      <c r="AP55" s="9"/>
      <c r="AQ55" s="9"/>
      <c r="AR55" s="9">
        <v>-2.6</v>
      </c>
      <c r="AS55" s="9">
        <v>-0.5</v>
      </c>
      <c r="AT55" s="9">
        <v>-5</v>
      </c>
      <c r="AU55" s="9">
        <v>-12</v>
      </c>
      <c r="AV55" s="9">
        <v>-1.4</v>
      </c>
      <c r="AW55" s="9">
        <v>-2.2999999999999998</v>
      </c>
      <c r="AX55" s="9">
        <v>-1</v>
      </c>
      <c r="AY55" s="9">
        <v>12</v>
      </c>
      <c r="AZ55" s="9">
        <v>-4</v>
      </c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  <c r="GL55" s="9"/>
      <c r="GM55" s="9"/>
      <c r="GN55" s="9"/>
      <c r="GO55" s="9"/>
      <c r="GP55" s="9"/>
      <c r="GQ55" s="9"/>
      <c r="GR55" s="9"/>
      <c r="GS55" s="9"/>
      <c r="GT55" s="9"/>
      <c r="GU55" s="9"/>
      <c r="GV55" s="9"/>
      <c r="GW55" s="9"/>
      <c r="GX55" s="9"/>
      <c r="GY55" s="9"/>
      <c r="GZ55" s="9"/>
      <c r="HA55" s="9"/>
      <c r="HB55" s="9"/>
      <c r="HC55" s="9"/>
      <c r="HD55" s="9"/>
      <c r="HE55" s="9"/>
      <c r="HF55" s="9"/>
      <c r="HG55" s="9"/>
      <c r="HH55" s="9"/>
      <c r="HI55" s="9"/>
      <c r="HJ55" s="9"/>
      <c r="HK55" s="9"/>
      <c r="HL55" s="9"/>
      <c r="HM55" s="9"/>
      <c r="HN55" s="9"/>
      <c r="HO55" s="9"/>
      <c r="HP55" s="9"/>
      <c r="HQ55" s="9"/>
      <c r="HR55" s="9"/>
      <c r="HS55" s="9"/>
      <c r="HT55" s="9"/>
      <c r="HU55" s="9"/>
      <c r="HV55" s="9"/>
      <c r="HW55" s="9"/>
      <c r="HX55" s="9"/>
      <c r="HY55" s="9"/>
      <c r="HZ55" s="9"/>
      <c r="IA55" s="9"/>
      <c r="IB55" s="9"/>
      <c r="IC55" s="9"/>
      <c r="ID55" s="9"/>
      <c r="IE55" s="9"/>
      <c r="IF55" s="9"/>
      <c r="IG55" s="9"/>
      <c r="IH55" s="9"/>
      <c r="II55" s="9"/>
      <c r="IJ55" s="9"/>
      <c r="IK55" s="9"/>
      <c r="IL55" s="9"/>
      <c r="IM55" s="9"/>
      <c r="IN55" s="9"/>
      <c r="IO55" s="9"/>
      <c r="IP55" s="9"/>
      <c r="IQ55" s="9"/>
      <c r="IR55" s="9"/>
      <c r="IS55" s="9"/>
      <c r="IT55" s="9"/>
      <c r="IU55" s="9"/>
      <c r="IV55" s="9"/>
      <c r="IW55" s="9"/>
      <c r="IX55" s="9"/>
      <c r="IY55" s="9"/>
      <c r="IZ55" s="9"/>
      <c r="JA55" s="9"/>
      <c r="JB55" s="9"/>
      <c r="JC55" s="9"/>
      <c r="JD55" s="9"/>
      <c r="JE55" s="9"/>
      <c r="JF55" s="9"/>
      <c r="JG55" s="9"/>
      <c r="JH55" s="9"/>
      <c r="JI55" s="9"/>
      <c r="JJ55" s="9"/>
      <c r="JK55" s="9"/>
      <c r="JL55" s="9"/>
      <c r="JM55" s="9"/>
      <c r="JN55" s="9"/>
      <c r="JO55" s="9"/>
      <c r="JP55" s="9"/>
      <c r="JQ55" s="9"/>
      <c r="JR55" s="9"/>
      <c r="JS55" s="9"/>
      <c r="JT55" s="9"/>
      <c r="JU55" s="9"/>
      <c r="JV55" s="9"/>
      <c r="JW55" s="9"/>
      <c r="JX55" s="9"/>
      <c r="JY55" s="9"/>
      <c r="JZ55" s="9"/>
      <c r="KA55" s="9"/>
      <c r="KB55" s="9"/>
      <c r="KC55" s="9"/>
      <c r="KD55" s="9"/>
      <c r="KE55" s="9"/>
      <c r="KF55" s="9"/>
      <c r="KG55" s="9"/>
      <c r="KH55" s="9"/>
      <c r="KI55" s="9"/>
      <c r="KJ55" s="9"/>
      <c r="KK55" s="9"/>
      <c r="KL55" s="9"/>
      <c r="KM55" s="9"/>
      <c r="KN55" s="9"/>
      <c r="KO55" s="9"/>
      <c r="KP55" s="9"/>
      <c r="KQ55" s="9"/>
      <c r="KR55" s="9"/>
      <c r="KS55" s="9"/>
      <c r="KT55" s="9"/>
      <c r="KU55" s="9"/>
      <c r="KV55" s="9"/>
      <c r="KW55" s="9"/>
      <c r="KX55" s="9"/>
      <c r="KY55" s="9"/>
      <c r="KZ55" s="9"/>
      <c r="LA55" s="9"/>
      <c r="LB55" s="9"/>
      <c r="LC55" s="9"/>
      <c r="LD55" s="9"/>
      <c r="LE55" s="9"/>
      <c r="LF55" s="9"/>
      <c r="LG55" s="9"/>
      <c r="LH55" s="9"/>
      <c r="LI55" s="9"/>
      <c r="LJ55" s="9"/>
      <c r="LK55" s="9"/>
      <c r="LL55" s="9"/>
      <c r="LM55" s="9"/>
      <c r="LN55" s="9"/>
      <c r="LO55" s="9"/>
      <c r="LP55" s="9"/>
      <c r="LQ55" s="9"/>
      <c r="LR55" s="9"/>
      <c r="LS55" s="9"/>
      <c r="LT55" s="9"/>
      <c r="LU55" s="9"/>
      <c r="LV55" s="9"/>
      <c r="LW55" s="9"/>
      <c r="LX55" s="9"/>
      <c r="LY55" s="9"/>
      <c r="LZ55" s="9"/>
      <c r="MA55" s="9"/>
      <c r="MB55" s="9"/>
      <c r="MC55" s="9"/>
      <c r="MD55" s="9"/>
      <c r="ME55" s="9"/>
      <c r="MF55" s="9"/>
      <c r="MG55" s="9"/>
      <c r="MH55" s="9"/>
      <c r="MI55" s="9"/>
      <c r="MJ55" s="9"/>
      <c r="MK55" s="9"/>
      <c r="ML55" s="9"/>
      <c r="MM55" s="9"/>
      <c r="MN55" s="9"/>
      <c r="MO55" s="9"/>
      <c r="MP55" s="9"/>
      <c r="MQ55" s="9"/>
      <c r="MR55" s="9"/>
      <c r="MS55" s="9"/>
      <c r="MT55" s="9"/>
      <c r="MU55" s="9"/>
      <c r="MV55" s="9"/>
      <c r="MW55" s="9"/>
      <c r="MX55" s="9"/>
      <c r="MY55" s="9"/>
      <c r="MZ55" s="9"/>
      <c r="NA55" s="9"/>
      <c r="NB55" s="9"/>
      <c r="NC55" s="9"/>
      <c r="ND55" s="9"/>
      <c r="NE55" s="9"/>
      <c r="NF55" s="9"/>
      <c r="NG55" s="9"/>
      <c r="NH55" s="9"/>
      <c r="NI55" s="9"/>
      <c r="NJ55" s="9"/>
      <c r="NK55" s="9"/>
      <c r="NL55" s="9"/>
      <c r="NM55" s="9"/>
      <c r="NN55" s="9"/>
      <c r="NO55" s="9"/>
      <c r="NP55" s="9"/>
      <c r="NQ55" s="9"/>
      <c r="NR55" s="9"/>
      <c r="NS55" s="9"/>
      <c r="NT55" s="9"/>
      <c r="NU55" s="9"/>
      <c r="NV55" s="9"/>
      <c r="NW55" s="9"/>
      <c r="NX55" s="9"/>
      <c r="NY55" s="9"/>
      <c r="NZ55" s="9"/>
      <c r="OA55" s="9"/>
      <c r="OB55" s="9"/>
      <c r="OC55" s="9"/>
      <c r="OD55" s="9"/>
      <c r="OE55" s="9"/>
      <c r="OF55" s="9"/>
      <c r="OG55" s="9"/>
      <c r="OH55" s="9"/>
      <c r="OI55" s="9"/>
      <c r="OJ55" s="9"/>
      <c r="OK55" s="9"/>
      <c r="OL55" s="9"/>
      <c r="OM55" s="9"/>
      <c r="ON55" s="9"/>
      <c r="OO55" s="9"/>
      <c r="OP55" s="9"/>
      <c r="OQ55" s="9"/>
      <c r="OR55" s="9"/>
      <c r="OS55" s="9"/>
      <c r="OT55" s="9"/>
      <c r="OU55" s="9"/>
      <c r="OV55" s="9"/>
      <c r="OW55" s="9"/>
      <c r="OX55" s="9"/>
      <c r="OY55" s="9"/>
      <c r="OZ55" s="9"/>
      <c r="PA55" s="9"/>
      <c r="PB55" s="9"/>
      <c r="PC55" s="9"/>
      <c r="PD55" s="9"/>
      <c r="PE55" s="9"/>
      <c r="PF55" s="9"/>
      <c r="PG55" s="9"/>
      <c r="PH55" s="9"/>
      <c r="PI55" s="9"/>
      <c r="PJ55" s="9"/>
      <c r="PK55" s="9"/>
      <c r="PL55" s="9"/>
      <c r="PM55" s="9"/>
      <c r="PN55" s="9"/>
      <c r="PO55" s="9"/>
      <c r="PP55" s="9"/>
      <c r="PQ55" s="9"/>
      <c r="PR55" s="9"/>
      <c r="PS55" s="9"/>
      <c r="PT55" s="9"/>
      <c r="PU55" s="9"/>
      <c r="PV55" s="9"/>
      <c r="PW55" s="9"/>
      <c r="PX55" s="9"/>
      <c r="PY55" s="9"/>
      <c r="PZ55" s="9"/>
      <c r="QA55" s="9"/>
      <c r="QB55" s="9"/>
      <c r="QC55" s="9"/>
      <c r="QD55" s="9"/>
      <c r="QE55" s="9"/>
      <c r="QF55" s="9"/>
      <c r="QG55" s="9"/>
      <c r="QH55" s="9"/>
      <c r="QI55" s="9"/>
      <c r="QJ55" s="9"/>
      <c r="QK55" s="9"/>
      <c r="QL55" s="9"/>
      <c r="QM55" s="9"/>
      <c r="QN55" s="9"/>
      <c r="QO55" s="9"/>
      <c r="QP55" s="9"/>
      <c r="QQ55" s="9"/>
      <c r="QR55" s="9"/>
      <c r="QS55" s="9"/>
      <c r="QT55" s="9"/>
      <c r="QU55" s="9"/>
      <c r="QV55" s="9"/>
      <c r="QW55" s="9"/>
      <c r="QX55" s="9"/>
      <c r="QY55" s="9"/>
      <c r="QZ55" s="9"/>
      <c r="RA55" s="9"/>
      <c r="RB55" s="9"/>
      <c r="RC55" s="9"/>
      <c r="RD55" s="9"/>
      <c r="RE55" s="9"/>
      <c r="RF55" s="9"/>
      <c r="RG55" s="9"/>
      <c r="RH55" s="9"/>
      <c r="RI55" s="9"/>
      <c r="RJ55" s="9"/>
      <c r="RK55" s="9"/>
      <c r="RL55" s="9"/>
      <c r="RM55" s="9"/>
      <c r="RN55" s="9"/>
      <c r="RO55" s="9"/>
      <c r="RP55" s="9"/>
      <c r="RQ55" s="9"/>
      <c r="RR55" s="9"/>
      <c r="RS55" s="9"/>
      <c r="RT55" s="9"/>
      <c r="RU55" s="9"/>
      <c r="RV55" s="9"/>
      <c r="RW55" s="9"/>
      <c r="RX55" s="9"/>
      <c r="RY55" s="9"/>
      <c r="RZ55" s="9"/>
      <c r="SA55" s="9"/>
      <c r="SB55" s="9"/>
      <c r="SC55" s="9"/>
      <c r="SD55" s="9"/>
      <c r="SE55" s="9"/>
      <c r="SF55" s="9"/>
      <c r="SG55" s="9"/>
      <c r="SH55" s="9"/>
      <c r="SI55" s="9"/>
      <c r="SJ55" s="9"/>
      <c r="SK55" s="9"/>
      <c r="SL55" s="9"/>
      <c r="SM55" s="9"/>
      <c r="SN55" s="9"/>
      <c r="SO55" s="9"/>
      <c r="SP55" s="9"/>
      <c r="SQ55" s="9"/>
      <c r="SR55" s="9"/>
      <c r="SS55" s="9"/>
      <c r="ST55" s="9"/>
      <c r="SU55" s="9"/>
      <c r="SV55" s="9"/>
      <c r="SW55" s="9"/>
      <c r="SX55" s="9"/>
      <c r="SY55" s="9"/>
      <c r="SZ55" s="9"/>
      <c r="TA55" s="9"/>
      <c r="TB55" s="9"/>
      <c r="TC55" s="9"/>
      <c r="TD55" s="9"/>
      <c r="TE55" s="9"/>
      <c r="TF55" s="9"/>
      <c r="TG55" s="9"/>
      <c r="TH55" s="9"/>
      <c r="TI55" s="9"/>
      <c r="TJ55" s="9"/>
      <c r="TK55" s="9"/>
      <c r="TL55" s="9"/>
      <c r="TM55" s="9"/>
      <c r="TN55" s="9"/>
      <c r="TO55" s="9"/>
      <c r="TP55" s="9"/>
      <c r="TQ55" s="9"/>
      <c r="TR55" s="9"/>
      <c r="TS55" s="9"/>
      <c r="TT55" s="9"/>
      <c r="TU55" s="9"/>
      <c r="TV55" s="9"/>
      <c r="TW55" s="9"/>
      <c r="TX55" s="9"/>
      <c r="TY55" s="9"/>
      <c r="TZ55" s="9"/>
      <c r="UA55" s="9"/>
      <c r="UB55" s="9"/>
      <c r="UC55" s="9"/>
      <c r="UD55" s="9"/>
      <c r="UE55" s="9"/>
      <c r="UF55" s="9"/>
      <c r="UG55" s="9"/>
      <c r="UH55" s="9"/>
      <c r="UI55" s="9"/>
      <c r="UJ55" s="9"/>
      <c r="UK55" s="9"/>
      <c r="UL55" s="9"/>
      <c r="UM55" s="9"/>
      <c r="UN55" s="9"/>
      <c r="UO55" s="9"/>
      <c r="UP55" s="9"/>
      <c r="UQ55" s="9"/>
      <c r="UR55" s="9"/>
      <c r="US55" s="9"/>
      <c r="UT55" s="9"/>
      <c r="UU55" s="9"/>
      <c r="UV55" s="9"/>
      <c r="UW55" s="9"/>
      <c r="UX55" s="9"/>
      <c r="UY55" s="9"/>
      <c r="UZ55" s="9"/>
      <c r="VA55" s="9"/>
      <c r="VB55" s="9"/>
      <c r="VC55" s="9"/>
      <c r="VD55" s="9"/>
      <c r="VE55" s="9"/>
      <c r="VF55" s="9"/>
      <c r="VG55" s="9"/>
      <c r="VH55" s="9"/>
      <c r="VI55" s="9"/>
      <c r="VJ55" s="9"/>
      <c r="VK55" s="9"/>
      <c r="VL55" s="9"/>
      <c r="VM55" s="9"/>
      <c r="VN55" s="9"/>
      <c r="VO55" s="9"/>
      <c r="VP55" s="9"/>
      <c r="VQ55" s="9"/>
      <c r="VR55" s="9"/>
      <c r="VS55" s="9"/>
      <c r="VT55" s="9"/>
      <c r="VU55" s="9"/>
      <c r="VV55" s="9"/>
      <c r="VW55" s="9"/>
      <c r="VX55" s="9"/>
      <c r="VY55" s="9"/>
      <c r="VZ55" s="9"/>
      <c r="WA55" s="9"/>
      <c r="WB55" s="9"/>
      <c r="WC55" s="9"/>
      <c r="WD55" s="9"/>
      <c r="WE55" s="9"/>
      <c r="WF55" s="9"/>
      <c r="WG55" s="9"/>
      <c r="WH55" s="9"/>
      <c r="WI55" s="9"/>
      <c r="WJ55" s="9"/>
      <c r="WK55" s="9"/>
      <c r="WL55" s="9"/>
      <c r="WM55" s="9"/>
      <c r="WN55" s="9"/>
      <c r="WO55" s="9"/>
      <c r="WP55" s="9"/>
      <c r="WQ55" s="9"/>
      <c r="WR55" s="9"/>
      <c r="WS55" s="9"/>
      <c r="WT55" s="9"/>
      <c r="WU55" s="9"/>
      <c r="WV55" s="9"/>
      <c r="WW55" s="9"/>
      <c r="WX55" s="9"/>
      <c r="WY55" s="9"/>
      <c r="WZ55" s="9"/>
      <c r="XA55" s="9"/>
      <c r="XB55" s="9"/>
      <c r="XC55" s="9"/>
      <c r="XD55" s="9"/>
      <c r="XE55" s="9"/>
      <c r="XF55" s="9"/>
      <c r="XG55" s="9"/>
      <c r="XH55" s="9"/>
      <c r="XI55" s="9"/>
      <c r="XJ55" s="9"/>
      <c r="XK55" s="9"/>
      <c r="XL55" s="9"/>
      <c r="XM55" s="9"/>
      <c r="XN55" s="9"/>
      <c r="XO55" s="9"/>
      <c r="XP55" s="9"/>
      <c r="XQ55" s="9"/>
      <c r="XR55" s="9"/>
      <c r="XS55" s="9"/>
      <c r="XT55" s="9"/>
      <c r="XU55" s="9"/>
      <c r="XV55" s="9"/>
      <c r="XW55" s="9"/>
      <c r="XX55" s="9"/>
      <c r="XY55" s="9"/>
      <c r="XZ55" s="9"/>
      <c r="YA55" s="9"/>
      <c r="YB55" s="9"/>
      <c r="YC55" s="9"/>
      <c r="YD55" s="9"/>
      <c r="YE55" s="9"/>
      <c r="YF55" s="9"/>
      <c r="YG55" s="9"/>
      <c r="YH55" s="9"/>
      <c r="YI55" s="9"/>
      <c r="YJ55" s="9"/>
      <c r="YK55" s="9"/>
      <c r="YL55" s="9"/>
      <c r="YM55" s="9"/>
      <c r="YN55" s="9"/>
      <c r="YO55" s="9"/>
      <c r="YP55" s="9"/>
      <c r="YQ55" s="9"/>
      <c r="YR55" s="9"/>
      <c r="YS55" s="9"/>
      <c r="YT55" s="9"/>
      <c r="YU55" s="9"/>
      <c r="YV55" s="9"/>
      <c r="YW55" s="9"/>
      <c r="YX55" s="9"/>
      <c r="YY55" s="9"/>
      <c r="YZ55" s="9"/>
      <c r="ZA55" s="9"/>
      <c r="ZB55" s="9"/>
      <c r="ZC55" s="9"/>
      <c r="ZD55" s="9"/>
      <c r="ZE55" s="9"/>
      <c r="ZF55" s="9"/>
      <c r="ZG55" s="9"/>
      <c r="ZH55" s="9"/>
      <c r="ZI55" s="9"/>
      <c r="ZJ55" s="9"/>
      <c r="ZK55" s="9"/>
      <c r="ZL55" s="9"/>
      <c r="ZM55" s="9"/>
      <c r="ZN55" s="9"/>
      <c r="ZO55" s="9"/>
      <c r="ZP55" s="9"/>
      <c r="ZQ55" s="9"/>
      <c r="ZR55" s="9"/>
      <c r="ZS55" s="9"/>
      <c r="ZT55" s="9"/>
      <c r="ZU55" s="9"/>
      <c r="ZV55" s="9"/>
      <c r="ZW55" s="9"/>
      <c r="ZX55" s="9"/>
      <c r="ZY55" s="9"/>
      <c r="ZZ55" s="9"/>
      <c r="AAA55" s="9"/>
      <c r="AAB55" s="9"/>
      <c r="AAC55" s="9"/>
      <c r="AAD55" s="9"/>
      <c r="AAE55" s="9"/>
      <c r="AAF55" s="9"/>
      <c r="AAG55" s="9"/>
      <c r="AAH55" s="9"/>
      <c r="AAI55" s="9"/>
      <c r="AAJ55" s="9"/>
      <c r="AAK55" s="9"/>
      <c r="AAL55" s="9"/>
      <c r="AAM55" s="9"/>
      <c r="AAN55" s="9"/>
      <c r="AAO55" s="9"/>
      <c r="AAP55" s="9"/>
      <c r="AAQ55" s="9"/>
      <c r="AAR55" s="9"/>
      <c r="AAS55" s="9"/>
      <c r="AAT55" s="9"/>
      <c r="AAU55" s="9"/>
      <c r="AAV55" s="9"/>
      <c r="AAW55" s="9"/>
      <c r="AAX55" s="9"/>
      <c r="AAY55" s="9"/>
      <c r="AAZ55" s="9"/>
      <c r="ABA55" s="9"/>
      <c r="ABB55" s="9"/>
      <c r="ABC55" s="9"/>
      <c r="ABD55" s="9"/>
      <c r="ABE55" s="9"/>
      <c r="ABF55" s="9"/>
      <c r="ABG55" s="9"/>
      <c r="ABH55" s="9"/>
      <c r="ABI55" s="9"/>
      <c r="ABJ55" s="9"/>
      <c r="ABK55" s="9"/>
      <c r="ABL55" s="9"/>
      <c r="ABM55" s="9"/>
      <c r="ABN55" s="9"/>
      <c r="ABO55" s="9"/>
      <c r="ABP55" s="9"/>
      <c r="ABQ55" s="9"/>
      <c r="ABR55" s="9"/>
      <c r="ABS55" s="9"/>
      <c r="ABT55" s="9"/>
      <c r="ABU55" s="9"/>
      <c r="ABV55" s="9"/>
      <c r="ABW55" s="9"/>
      <c r="ABX55" s="9"/>
      <c r="ABY55" s="9"/>
      <c r="ABZ55" s="9"/>
      <c r="ACA55" s="9"/>
      <c r="ACB55" s="9"/>
      <c r="ACC55" s="9"/>
      <c r="ACD55" s="9"/>
      <c r="ACE55" s="9"/>
      <c r="ACF55" s="9"/>
      <c r="ACG55" s="9"/>
      <c r="ACH55" s="9"/>
      <c r="ACI55" s="9"/>
      <c r="ACJ55" s="9"/>
      <c r="ACK55" s="9"/>
      <c r="ACL55" s="9"/>
      <c r="ACM55" s="9"/>
      <c r="ACN55" s="9"/>
      <c r="ACO55" s="9"/>
      <c r="ACP55" s="9"/>
      <c r="ACQ55" s="9"/>
      <c r="ACR55" s="9"/>
      <c r="ACS55" s="9"/>
      <c r="ACT55" s="9"/>
      <c r="ACU55" s="9"/>
      <c r="ACV55" s="9"/>
      <c r="ACW55" s="9"/>
      <c r="ACX55" s="9"/>
      <c r="ACY55" s="9"/>
      <c r="ACZ55" s="9"/>
      <c r="ADA55" s="9"/>
      <c r="ADB55" s="9"/>
      <c r="ADC55" s="9"/>
      <c r="ADD55" s="9"/>
      <c r="ADE55" s="9"/>
      <c r="ADF55" s="9"/>
      <c r="ADG55" s="9"/>
      <c r="ADH55" s="9"/>
      <c r="ADI55" s="9"/>
      <c r="ADJ55" s="9"/>
      <c r="ADK55" s="9"/>
      <c r="ADL55" s="9"/>
      <c r="ADM55" s="9"/>
      <c r="ADN55" s="9"/>
      <c r="ADO55" s="9"/>
      <c r="ADP55" s="9"/>
      <c r="ADQ55" s="9"/>
      <c r="ADR55" s="9"/>
      <c r="ADS55" s="9"/>
      <c r="ADT55" s="9"/>
      <c r="ADU55" s="9"/>
      <c r="ADV55" s="9"/>
      <c r="ADW55" s="9"/>
      <c r="ADX55" s="9"/>
      <c r="ADY55" s="9"/>
      <c r="ADZ55" s="9"/>
      <c r="AEA55" s="9"/>
      <c r="AEB55" s="9"/>
      <c r="AEC55" s="9"/>
      <c r="AED55" s="9"/>
      <c r="AEE55" s="9"/>
      <c r="AEF55" s="9"/>
      <c r="AEG55" s="9"/>
      <c r="AEH55" s="9"/>
      <c r="AEI55" s="9"/>
      <c r="AEJ55" s="9"/>
      <c r="AEK55" s="9"/>
      <c r="AEL55" s="9"/>
      <c r="AEM55" s="9"/>
      <c r="AEN55" s="9"/>
      <c r="AEO55" s="9"/>
      <c r="AEP55" s="9"/>
      <c r="AEQ55" s="9"/>
      <c r="AER55" s="9"/>
      <c r="AES55" s="9"/>
      <c r="AET55" s="9"/>
      <c r="AEU55" s="9"/>
      <c r="AEV55" s="9"/>
      <c r="AEW55" s="9"/>
      <c r="AEX55" s="9"/>
      <c r="AEY55" s="9"/>
      <c r="AEZ55" s="9"/>
      <c r="AFA55" s="9"/>
      <c r="AFB55" s="9"/>
      <c r="AFC55" s="9"/>
      <c r="AFD55" s="9"/>
      <c r="AFE55" s="9"/>
      <c r="AFF55" s="9"/>
      <c r="AFG55" s="9"/>
      <c r="AFH55" s="9"/>
      <c r="AFI55" s="9"/>
      <c r="AFJ55" s="9"/>
      <c r="AFK55" s="9"/>
      <c r="AFL55" s="9"/>
      <c r="AFM55" s="9"/>
      <c r="AFN55" s="9"/>
      <c r="AFO55" s="9"/>
      <c r="AFP55" s="9"/>
      <c r="AFQ55" s="9"/>
      <c r="AFR55" s="9"/>
      <c r="AFS55" s="9"/>
      <c r="AFT55" s="9"/>
      <c r="AFU55" s="9"/>
      <c r="AFV55" s="9"/>
      <c r="AFW55" s="9"/>
      <c r="AFX55" s="9"/>
      <c r="AFY55" s="9"/>
      <c r="AFZ55" s="9"/>
      <c r="AGA55" s="9"/>
      <c r="AGB55" s="9"/>
      <c r="AGC55" s="9"/>
      <c r="AGD55" s="9"/>
      <c r="AGE55" s="9"/>
      <c r="AGF55" s="9"/>
      <c r="AGG55" s="9"/>
      <c r="AGH55" s="9"/>
      <c r="AGI55" s="9"/>
      <c r="AGJ55" s="9"/>
      <c r="AGK55" s="9"/>
      <c r="AGL55" s="9"/>
      <c r="AGM55" s="9"/>
      <c r="AGN55" s="9"/>
      <c r="AGO55" s="9"/>
      <c r="AGP55" s="9"/>
      <c r="AGQ55" s="9"/>
      <c r="AGR55" s="9"/>
      <c r="AGS55" s="9"/>
      <c r="AGT55" s="9"/>
      <c r="AGU55" s="9"/>
      <c r="AGV55" s="9"/>
      <c r="AGW55" s="9"/>
      <c r="AGX55" s="9"/>
      <c r="AGY55" s="9"/>
      <c r="AGZ55" s="9"/>
      <c r="AHA55" s="9"/>
      <c r="AHB55" s="9"/>
      <c r="AHC55" s="9"/>
      <c r="AHD55" s="9"/>
      <c r="AHE55" s="9"/>
      <c r="AHF55" s="9"/>
      <c r="AHG55" s="9"/>
      <c r="AHH55" s="9"/>
      <c r="AHI55" s="9"/>
      <c r="AHJ55" s="9"/>
      <c r="AHK55" s="9"/>
      <c r="AHL55" s="9"/>
      <c r="AHM55" s="9"/>
      <c r="AHN55" s="9"/>
      <c r="AHO55" s="9"/>
      <c r="AHP55" s="9"/>
      <c r="AHQ55" s="9"/>
      <c r="AHR55" s="9"/>
      <c r="AHS55" s="9"/>
      <c r="AHT55" s="9"/>
      <c r="AHU55" s="9"/>
      <c r="AHV55" s="9"/>
      <c r="AHW55" s="9"/>
      <c r="AHX55" s="9"/>
      <c r="AHY55" s="9"/>
      <c r="AHZ55" s="9"/>
      <c r="AIA55" s="9"/>
      <c r="AIB55" s="9"/>
      <c r="AIC55" s="9"/>
      <c r="AID55" s="9"/>
      <c r="AIE55" s="9"/>
      <c r="AIF55" s="9"/>
      <c r="AIG55" s="9"/>
      <c r="AIH55" s="9"/>
      <c r="AII55" s="9"/>
      <c r="AIJ55" s="9"/>
      <c r="AIK55" s="9"/>
      <c r="AIL55" s="9"/>
      <c r="AIM55" s="9"/>
      <c r="AIN55" s="9"/>
      <c r="AIO55" s="9"/>
      <c r="AIP55" s="9"/>
      <c r="AIQ55" s="9"/>
      <c r="AIR55" s="9"/>
      <c r="AIS55" s="9"/>
      <c r="AIT55" s="9"/>
      <c r="AIU55" s="9"/>
      <c r="AIV55" s="9"/>
      <c r="AIW55" s="9"/>
      <c r="AIX55" s="9"/>
      <c r="AIY55" s="9"/>
      <c r="AIZ55" s="9"/>
      <c r="AJA55" s="9"/>
      <c r="AJB55" s="9"/>
      <c r="AJC55" s="9"/>
      <c r="AJD55" s="9"/>
      <c r="AJE55" s="9"/>
      <c r="AJF55" s="9"/>
      <c r="AJG55" s="9"/>
      <c r="AJH55" s="9"/>
      <c r="AJI55" s="9"/>
      <c r="AJJ55" s="9"/>
      <c r="AJK55" s="9"/>
      <c r="AJL55" s="9"/>
      <c r="AJM55" s="9"/>
      <c r="AJN55" s="9"/>
      <c r="AJO55" s="9"/>
      <c r="AJP55" s="9"/>
      <c r="AJQ55" s="9"/>
      <c r="AJR55" s="9"/>
      <c r="AJS55" s="9"/>
      <c r="AJT55" s="9"/>
      <c r="AJU55" s="9"/>
      <c r="AJV55" s="9"/>
      <c r="AJW55" s="9"/>
      <c r="AJX55" s="9"/>
      <c r="AJY55" s="9"/>
      <c r="AJZ55" s="9"/>
      <c r="AKA55" s="9"/>
      <c r="AKB55" s="9"/>
      <c r="AKC55" s="9"/>
      <c r="AKD55" s="9"/>
      <c r="AKE55" s="9"/>
      <c r="AKF55" s="9"/>
      <c r="AKG55" s="9"/>
      <c r="AKH55" s="9"/>
      <c r="AKI55" s="9"/>
      <c r="AKJ55" s="9"/>
      <c r="AKK55" s="9"/>
      <c r="AKL55" s="9"/>
      <c r="AKM55" s="9"/>
      <c r="AKN55" s="9"/>
      <c r="AKO55" s="9"/>
      <c r="AKP55" s="9"/>
      <c r="AKQ55" s="9"/>
      <c r="AKR55" s="9"/>
      <c r="AKS55" s="9"/>
      <c r="AKT55" s="9"/>
      <c r="AKU55" s="9"/>
      <c r="AKV55" s="9"/>
      <c r="AKW55" s="9"/>
      <c r="AKX55" s="9"/>
      <c r="AKY55" s="9"/>
      <c r="AKZ55" s="9"/>
      <c r="ALA55" s="9"/>
      <c r="ALB55" s="9"/>
      <c r="ALC55" s="9"/>
      <c r="ALD55" s="9"/>
      <c r="ALE55" s="9"/>
      <c r="ALF55" s="9"/>
      <c r="ALG55" s="9"/>
      <c r="ALH55" s="9"/>
      <c r="ALI55" s="9"/>
      <c r="ALJ55" s="9"/>
      <c r="ALK55" s="9"/>
      <c r="ALL55" s="9"/>
      <c r="ALM55" s="9"/>
      <c r="ALN55" s="9"/>
      <c r="ALO55" s="9"/>
      <c r="ALP55" s="9"/>
      <c r="ALQ55" s="9"/>
      <c r="ALR55" s="9"/>
      <c r="ALS55" s="9"/>
      <c r="ALT55" s="9"/>
      <c r="ALU55" s="9"/>
      <c r="ALV55" s="9"/>
      <c r="ALW55" s="9"/>
      <c r="ALX55" s="9"/>
      <c r="ALY55" s="9"/>
      <c r="ALZ55" s="9"/>
      <c r="AMA55" s="9"/>
      <c r="AMB55" s="9"/>
      <c r="AMC55" s="9"/>
      <c r="AMD55" s="9"/>
      <c r="AME55" s="9"/>
      <c r="AMF55" s="9"/>
      <c r="AMG55" s="9"/>
      <c r="AMH55" s="9"/>
      <c r="AMI55" s="9"/>
      <c r="AMJ55" s="9"/>
      <c r="AMK55" s="9"/>
      <c r="AML55" s="9"/>
      <c r="AMM55" s="9"/>
      <c r="AMN55" s="9"/>
      <c r="AMO55" s="9"/>
      <c r="AMP55" s="9"/>
      <c r="AMQ55" s="9"/>
      <c r="AMR55" s="9"/>
      <c r="AMS55" s="9"/>
      <c r="AMT55" s="9"/>
      <c r="AMU55" s="9"/>
      <c r="AMV55" s="9"/>
      <c r="AMW55" s="9"/>
      <c r="AMX55" s="9"/>
      <c r="AMY55" s="9"/>
      <c r="AMZ55" s="9"/>
      <c r="ANA55" s="9"/>
      <c r="ANB55" s="9"/>
      <c r="ANC55" s="9"/>
      <c r="AND55" s="9"/>
      <c r="ANE55" s="9"/>
      <c r="ANF55" s="9"/>
      <c r="ANG55" s="9"/>
      <c r="ANH55" s="9"/>
      <c r="ANI55" s="9"/>
      <c r="ANJ55" s="9"/>
      <c r="ANK55" s="9"/>
      <c r="ANL55" s="9"/>
      <c r="ANM55" s="9"/>
      <c r="ANN55" s="9"/>
      <c r="ANO55" s="9"/>
      <c r="ANP55" s="9"/>
      <c r="ANQ55" s="9"/>
      <c r="ANR55" s="9"/>
      <c r="ANS55" s="9"/>
      <c r="ANT55" s="9"/>
      <c r="ANU55" s="9"/>
      <c r="ANV55" s="9"/>
      <c r="ANW55" s="9"/>
      <c r="ANX55" s="9"/>
      <c r="ANY55" s="9"/>
      <c r="ANZ55" s="9"/>
      <c r="AOA55" s="9"/>
      <c r="AOB55" s="9"/>
      <c r="AOC55" s="9"/>
      <c r="AOD55" s="9"/>
      <c r="AOE55" s="9"/>
      <c r="AOF55" s="9"/>
      <c r="AOG55" s="9"/>
      <c r="AOH55" s="9"/>
      <c r="AOI55" s="9"/>
      <c r="AOJ55" s="9"/>
      <c r="AOK55" s="9"/>
      <c r="AOL55" s="9"/>
      <c r="AOM55" s="9"/>
      <c r="AON55" s="9"/>
      <c r="AOO55" s="9"/>
      <c r="AOP55" s="9"/>
      <c r="AOQ55" s="9"/>
      <c r="AOR55" s="9"/>
      <c r="AOS55" s="9"/>
      <c r="AOT55" s="9"/>
      <c r="AOU55" s="9"/>
      <c r="AOV55" s="9"/>
      <c r="AOW55" s="9"/>
      <c r="AOX55" s="9"/>
      <c r="AOY55" s="9"/>
      <c r="AOZ55" s="9"/>
      <c r="APA55" s="9"/>
      <c r="APB55" s="9"/>
      <c r="APC55" s="9"/>
      <c r="APD55" s="9"/>
      <c r="APE55" s="9"/>
      <c r="APF55" s="9"/>
      <c r="APG55" s="9"/>
      <c r="APH55" s="9"/>
      <c r="API55" s="9"/>
      <c r="APJ55" s="9"/>
      <c r="APK55" s="9"/>
      <c r="APL55" s="9"/>
      <c r="APM55" s="9"/>
      <c r="APN55" s="9"/>
      <c r="APO55" s="9"/>
      <c r="APP55" s="9"/>
      <c r="APQ55" s="9"/>
      <c r="APR55" s="9"/>
      <c r="APS55" s="9"/>
      <c r="APT55" s="9"/>
      <c r="APU55" s="9"/>
      <c r="APV55" s="9"/>
      <c r="APW55" s="9"/>
      <c r="APX55" s="9"/>
      <c r="APY55" s="9"/>
      <c r="APZ55" s="9"/>
      <c r="AQA55" s="9"/>
      <c r="AQB55" s="9"/>
      <c r="AQC55" s="9"/>
      <c r="AQD55" s="9"/>
      <c r="AQE55" s="9"/>
      <c r="AQF55" s="9"/>
      <c r="AQG55" s="9"/>
      <c r="AQH55" s="9"/>
      <c r="AQI55" s="9"/>
      <c r="AQJ55" s="9"/>
      <c r="AQK55" s="9"/>
      <c r="AQL55" s="9"/>
      <c r="AQM55" s="9"/>
      <c r="AQN55" s="9"/>
      <c r="AQO55" s="9"/>
      <c r="AQP55" s="9"/>
      <c r="AQQ55" s="9"/>
      <c r="AQR55" s="9"/>
      <c r="AQS55" s="9"/>
      <c r="AQT55" s="9"/>
      <c r="AQU55" s="9"/>
      <c r="AQV55" s="9"/>
      <c r="AQW55" s="9"/>
      <c r="AQX55" s="9"/>
      <c r="AQY55" s="9"/>
      <c r="AQZ55" s="9"/>
      <c r="ARA55" s="9"/>
      <c r="ARB55" s="9"/>
      <c r="ARC55" s="9"/>
      <c r="ARD55" s="9"/>
      <c r="ARE55" s="9"/>
      <c r="ARF55" s="9"/>
      <c r="ARG55" s="9"/>
      <c r="ARH55" s="9"/>
      <c r="ARI55" s="9"/>
      <c r="ARJ55" s="9"/>
      <c r="ARK55" s="9"/>
      <c r="ARL55" s="9"/>
      <c r="ARM55" s="9"/>
      <c r="ARN55" s="9"/>
      <c r="ARO55" s="9"/>
      <c r="ARP55" s="9"/>
      <c r="ARQ55" s="9"/>
      <c r="ARR55" s="9"/>
      <c r="ARS55" s="9"/>
      <c r="ART55" s="9"/>
      <c r="ARU55" s="9"/>
      <c r="ARV55" s="9"/>
      <c r="ARW55" s="9"/>
      <c r="ARX55" s="9"/>
      <c r="ARY55" s="9"/>
      <c r="ARZ55" s="9"/>
      <c r="ASA55" s="9"/>
      <c r="ASB55" s="9"/>
      <c r="ASC55" s="9"/>
      <c r="ASD55" s="9"/>
      <c r="ASE55" s="9"/>
      <c r="ASF55" s="9"/>
      <c r="ASG55" s="9"/>
      <c r="ASH55" s="9"/>
      <c r="ASI55" s="9"/>
      <c r="ASJ55" s="9"/>
      <c r="ASK55" s="9"/>
      <c r="ASL55" s="9"/>
      <c r="ASM55" s="9"/>
      <c r="ASN55" s="9"/>
      <c r="ASO55" s="9"/>
      <c r="ASP55" s="9"/>
      <c r="ASQ55" s="9"/>
      <c r="ASR55" s="9"/>
      <c r="ASS55" s="9"/>
      <c r="AST55" s="9"/>
      <c r="ASU55" s="9"/>
      <c r="ASV55" s="9"/>
      <c r="ASW55" s="9"/>
      <c r="ASX55" s="9"/>
      <c r="ASY55" s="9"/>
      <c r="ASZ55" s="9"/>
      <c r="ATA55" s="9"/>
      <c r="ATB55" s="9"/>
      <c r="ATC55" s="9"/>
      <c r="ATD55" s="9"/>
      <c r="ATE55" s="9"/>
      <c r="ATF55" s="9"/>
      <c r="ATG55" s="9"/>
      <c r="ATH55" s="9"/>
      <c r="ATI55" s="9"/>
      <c r="ATJ55" s="9"/>
      <c r="ATK55" s="9"/>
      <c r="ATL55" s="9"/>
      <c r="ATM55" s="9"/>
      <c r="ATN55" s="9"/>
      <c r="ATO55" s="9"/>
      <c r="ATP55" s="9"/>
      <c r="ATQ55" s="9"/>
      <c r="ATR55" s="9"/>
      <c r="ATS55" s="9"/>
      <c r="ATT55" s="9"/>
      <c r="ATU55" s="9"/>
      <c r="ATV55" s="9"/>
      <c r="ATW55" s="9"/>
      <c r="ATX55" s="9"/>
      <c r="ATY55" s="9"/>
      <c r="ATZ55" s="9"/>
      <c r="AUA55" s="9"/>
      <c r="AUB55" s="9"/>
      <c r="AUC55" s="9"/>
      <c r="AUD55" s="9"/>
      <c r="AUE55" s="9"/>
      <c r="AUF55" s="9"/>
      <c r="AUG55" s="9"/>
      <c r="AUH55" s="9"/>
      <c r="AUI55" s="9"/>
      <c r="AUJ55" s="9"/>
      <c r="AUK55" s="9"/>
      <c r="AUL55" s="9"/>
      <c r="AUM55" s="9"/>
      <c r="AUN55" s="9"/>
      <c r="AUO55" s="9"/>
      <c r="AUP55" s="9"/>
      <c r="AUQ55" s="9"/>
      <c r="AUR55" s="9"/>
      <c r="AUS55" s="9"/>
      <c r="AUT55" s="9"/>
      <c r="AUU55" s="9"/>
      <c r="AUV55" s="9"/>
      <c r="AUW55" s="9"/>
      <c r="AUX55" s="9"/>
      <c r="AUY55" s="9"/>
      <c r="AUZ55" s="9"/>
      <c r="AVA55" s="9"/>
      <c r="AVB55" s="9"/>
      <c r="AVC55" s="9"/>
      <c r="AVD55" s="9"/>
      <c r="AVE55" s="9"/>
      <c r="AVF55" s="9"/>
      <c r="AVG55" s="9"/>
      <c r="AVH55" s="9"/>
      <c r="AVI55" s="9"/>
      <c r="AVJ55" s="9"/>
      <c r="AVK55" s="9"/>
      <c r="AVL55" s="9"/>
      <c r="AVM55" s="9"/>
      <c r="AVN55" s="9"/>
      <c r="AVO55" s="9"/>
      <c r="AVP55" s="9"/>
      <c r="AVQ55" s="9"/>
      <c r="AVR55" s="9"/>
      <c r="AVS55" s="9"/>
      <c r="AVT55" s="9"/>
      <c r="AVU55" s="9"/>
      <c r="AVV55" s="9"/>
      <c r="AVW55" s="9"/>
      <c r="AVX55" s="9"/>
      <c r="AVY55" s="9"/>
      <c r="AVZ55" s="9"/>
      <c r="AWA55" s="9"/>
      <c r="AWB55" s="9"/>
      <c r="AWC55" s="9"/>
      <c r="AWD55" s="9"/>
      <c r="AWE55" s="9"/>
      <c r="AWF55" s="9"/>
      <c r="AWG55" s="9"/>
      <c r="AWH55" s="9"/>
      <c r="AWI55" s="9"/>
      <c r="AWJ55" s="9"/>
      <c r="AWK55" s="9"/>
      <c r="AWL55" s="9"/>
      <c r="AWM55" s="9"/>
      <c r="AWN55" s="9"/>
      <c r="AWO55" s="9"/>
      <c r="AWP55" s="9"/>
      <c r="AWQ55" s="9"/>
      <c r="AWR55" s="9"/>
      <c r="AWS55" s="9"/>
      <c r="AWT55" s="9"/>
      <c r="AWU55" s="9"/>
      <c r="AWV55" s="9"/>
      <c r="AWW55" s="9"/>
      <c r="AWX55" s="9"/>
      <c r="AWY55" s="9"/>
      <c r="AWZ55" s="9"/>
      <c r="AXA55" s="9"/>
      <c r="AXB55" s="9"/>
      <c r="AXC55" s="9"/>
      <c r="AXD55" s="9"/>
      <c r="AXE55" s="9"/>
      <c r="AXF55" s="9"/>
      <c r="AXG55" s="9"/>
      <c r="AXH55" s="9"/>
      <c r="AXI55" s="9"/>
      <c r="AXJ55" s="9"/>
      <c r="AXK55" s="9"/>
      <c r="AXL55" s="9"/>
      <c r="AXM55" s="9"/>
      <c r="AXN55" s="9"/>
      <c r="AXO55" s="9"/>
      <c r="AXP55" s="9"/>
      <c r="AXQ55" s="9"/>
      <c r="AXR55" s="9"/>
      <c r="AXS55" s="9"/>
      <c r="AXT55" s="9"/>
      <c r="AXU55" s="9"/>
      <c r="AXV55" s="9"/>
      <c r="AXW55" s="9"/>
      <c r="AXX55" s="9"/>
      <c r="AXY55" s="9"/>
      <c r="AXZ55" s="9"/>
      <c r="AYA55" s="9"/>
      <c r="AYB55" s="9"/>
      <c r="AYC55" s="9"/>
      <c r="AYD55" s="9"/>
      <c r="AYE55" s="9"/>
      <c r="AYF55" s="9"/>
      <c r="AYG55" s="9"/>
      <c r="AYH55" s="9"/>
      <c r="AYI55" s="9"/>
      <c r="AYJ55" s="9"/>
      <c r="AYK55" s="9"/>
      <c r="AYL55" s="9"/>
      <c r="AYM55" s="9"/>
      <c r="AYN55" s="9"/>
      <c r="AYO55" s="9"/>
      <c r="AYP55" s="9"/>
      <c r="AYQ55" s="9"/>
      <c r="AYR55" s="9"/>
      <c r="AYS55" s="9"/>
      <c r="AYT55" s="9"/>
      <c r="AYU55" s="9"/>
      <c r="AYV55" s="9"/>
      <c r="AYW55" s="9"/>
      <c r="AYX55" s="9"/>
      <c r="AYY55" s="9"/>
      <c r="AYZ55" s="9"/>
      <c r="AZA55" s="9"/>
      <c r="AZB55" s="9"/>
      <c r="AZC55" s="9"/>
      <c r="AZD55" s="9"/>
      <c r="AZE55" s="9"/>
      <c r="AZF55" s="9"/>
      <c r="AZG55" s="9"/>
      <c r="AZH55" s="9"/>
      <c r="AZI55" s="9"/>
      <c r="AZJ55" s="9"/>
      <c r="AZK55" s="9"/>
      <c r="AZL55" s="9"/>
      <c r="AZM55" s="9"/>
      <c r="AZN55" s="9"/>
      <c r="AZO55" s="9"/>
      <c r="AZP55" s="9"/>
      <c r="AZQ55" s="9"/>
      <c r="AZR55" s="9"/>
      <c r="AZS55" s="9"/>
      <c r="AZT55" s="9"/>
      <c r="AZU55" s="9"/>
      <c r="AZV55" s="9"/>
      <c r="AZW55" s="9"/>
      <c r="AZX55" s="9"/>
      <c r="AZY55" s="9"/>
      <c r="AZZ55" s="9"/>
      <c r="BAA55" s="9"/>
      <c r="BAB55" s="9"/>
      <c r="BAC55" s="9"/>
      <c r="BAD55" s="9"/>
      <c r="BAE55" s="9"/>
      <c r="BAF55" s="9"/>
      <c r="BAG55" s="9"/>
      <c r="BAH55" s="9"/>
      <c r="BAI55" s="9"/>
      <c r="BAJ55" s="9"/>
      <c r="BAK55" s="9"/>
      <c r="BAL55" s="9"/>
      <c r="BAM55" s="9"/>
      <c r="BAN55" s="9"/>
      <c r="BAO55" s="9"/>
      <c r="BAP55" s="9"/>
      <c r="BAQ55" s="9"/>
      <c r="BAR55" s="9"/>
      <c r="BAS55" s="9"/>
      <c r="BAT55" s="9"/>
      <c r="BAU55" s="9"/>
      <c r="BAV55" s="9"/>
      <c r="BAW55" s="9"/>
      <c r="BAX55" s="9"/>
      <c r="BAY55" s="9"/>
      <c r="BAZ55" s="9"/>
      <c r="BBA55" s="9"/>
      <c r="BBB55" s="9"/>
      <c r="BBC55" s="9"/>
      <c r="BBD55" s="9"/>
      <c r="BBE55" s="9"/>
      <c r="BBF55" s="9"/>
      <c r="BBG55" s="9"/>
      <c r="BBH55" s="9"/>
      <c r="BBI55" s="9"/>
      <c r="BBJ55" s="9"/>
      <c r="BBK55" s="9"/>
      <c r="BBL55" s="9"/>
      <c r="BBM55" s="9"/>
      <c r="BBN55" s="9"/>
      <c r="BBO55" s="9"/>
      <c r="BBP55" s="9"/>
      <c r="BBQ55" s="9"/>
      <c r="BBR55" s="9"/>
      <c r="BBS55" s="9"/>
      <c r="BBT55" s="9"/>
      <c r="BBU55" s="9"/>
      <c r="BBV55" s="9"/>
      <c r="BBW55" s="9"/>
      <c r="BBX55" s="9"/>
      <c r="BBY55" s="9"/>
      <c r="BBZ55" s="9"/>
      <c r="BCA55" s="9"/>
      <c r="BCB55" s="9"/>
      <c r="BCC55" s="9"/>
      <c r="BCD55" s="9"/>
      <c r="BCE55" s="9"/>
      <c r="BCF55" s="9"/>
      <c r="BCG55" s="9"/>
      <c r="BCH55" s="9"/>
      <c r="BCI55" s="9"/>
      <c r="BCJ55" s="9"/>
      <c r="BCK55" s="9"/>
      <c r="BCL55" s="9"/>
      <c r="BCM55" s="9"/>
      <c r="BCN55" s="9"/>
      <c r="BCO55" s="9"/>
      <c r="BCP55" s="9"/>
      <c r="BCQ55" s="9"/>
      <c r="BCR55" s="9"/>
      <c r="BCS55" s="9"/>
      <c r="BCT55" s="9"/>
      <c r="BCU55" s="9"/>
      <c r="BCV55" s="9"/>
      <c r="BCW55" s="9"/>
      <c r="BCX55" s="9"/>
      <c r="BCY55" s="9"/>
      <c r="BCZ55" s="9"/>
      <c r="BDA55" s="9"/>
      <c r="BDB55" s="9"/>
      <c r="BDC55" s="9"/>
      <c r="BDD55" s="9"/>
      <c r="BDE55" s="9"/>
      <c r="BDF55" s="9"/>
      <c r="BDG55" s="9"/>
      <c r="BDH55" s="9"/>
      <c r="BDI55" s="9"/>
      <c r="BDJ55" s="9"/>
      <c r="BDK55" s="9"/>
      <c r="BDL55" s="9"/>
      <c r="BDM55" s="9"/>
      <c r="BDN55" s="9"/>
      <c r="BDO55" s="9"/>
      <c r="BDP55" s="9"/>
      <c r="BDQ55" s="9"/>
      <c r="BDR55" s="9"/>
      <c r="BDS55" s="9"/>
      <c r="BDT55" s="9"/>
      <c r="BDU55" s="9"/>
    </row>
    <row r="56" spans="1:1477" s="1" customFormat="1" x14ac:dyDescent="0.35">
      <c r="A56" s="1">
        <v>500</v>
      </c>
      <c r="B56" s="1">
        <f t="shared" si="3"/>
        <v>11000</v>
      </c>
      <c r="C56" s="1" t="s">
        <v>18</v>
      </c>
      <c r="D56" s="12" t="s">
        <v>54</v>
      </c>
      <c r="E56" s="1">
        <v>15</v>
      </c>
      <c r="F56" s="1" t="s">
        <v>12</v>
      </c>
      <c r="G56" s="2">
        <f t="shared" si="2"/>
        <v>22</v>
      </c>
      <c r="I56" s="1">
        <v>-10</v>
      </c>
      <c r="J56" s="1">
        <v>-12</v>
      </c>
      <c r="K56" s="1">
        <v>15</v>
      </c>
      <c r="L56" s="1">
        <v>-2</v>
      </c>
      <c r="M56" s="1">
        <v>20</v>
      </c>
      <c r="O56" s="1">
        <v>-6</v>
      </c>
      <c r="P56" s="1">
        <v>-5</v>
      </c>
      <c r="S56" s="1">
        <v>-5</v>
      </c>
      <c r="T56" s="1">
        <v>20</v>
      </c>
      <c r="U56" s="1">
        <v>-8</v>
      </c>
      <c r="Z56" s="1">
        <v>-2</v>
      </c>
      <c r="AC56" s="1">
        <v>-5</v>
      </c>
      <c r="AE56" s="1">
        <v>20</v>
      </c>
      <c r="AG56" s="1">
        <v>-5</v>
      </c>
      <c r="AI56" s="1">
        <v>-20</v>
      </c>
      <c r="AJ56" s="1">
        <v>20</v>
      </c>
      <c r="AK56" s="1">
        <v>-10</v>
      </c>
      <c r="AN56" s="1">
        <v>-12</v>
      </c>
      <c r="AO56" s="1">
        <v>-7</v>
      </c>
      <c r="AP56" s="1">
        <v>15</v>
      </c>
      <c r="AQ56" s="1">
        <v>14</v>
      </c>
      <c r="AR56" s="1">
        <v>-5</v>
      </c>
      <c r="AT56" s="1">
        <v>-10</v>
      </c>
      <c r="AU56" s="1">
        <v>19</v>
      </c>
      <c r="AX56" s="1">
        <v>-5</v>
      </c>
      <c r="AY56" s="1">
        <v>-7</v>
      </c>
    </row>
    <row r="57" spans="1:1477" s="1" customFormat="1" x14ac:dyDescent="0.35">
      <c r="A57" s="1">
        <v>500</v>
      </c>
      <c r="B57" s="1">
        <f t="shared" si="3"/>
        <v>11500</v>
      </c>
      <c r="C57" s="1" t="s">
        <v>18</v>
      </c>
      <c r="D57" s="12" t="s">
        <v>53</v>
      </c>
      <c r="E57" s="1">
        <v>15</v>
      </c>
      <c r="F57" s="1" t="s">
        <v>12</v>
      </c>
      <c r="G57" s="2">
        <f t="shared" si="2"/>
        <v>23</v>
      </c>
      <c r="I57" s="1">
        <v>-10</v>
      </c>
      <c r="J57" s="1">
        <v>-12</v>
      </c>
      <c r="K57" s="1">
        <v>15</v>
      </c>
      <c r="L57" s="1">
        <v>-3</v>
      </c>
      <c r="M57" s="1">
        <v>20</v>
      </c>
      <c r="O57" s="1">
        <v>-5</v>
      </c>
      <c r="P57" s="1">
        <v>-5</v>
      </c>
      <c r="S57" s="1">
        <v>-5</v>
      </c>
      <c r="T57" s="1">
        <v>20</v>
      </c>
      <c r="U57" s="1">
        <v>-8</v>
      </c>
      <c r="Z57" s="1">
        <v>-2</v>
      </c>
      <c r="AC57" s="1">
        <v>-5</v>
      </c>
      <c r="AE57" s="1">
        <v>20</v>
      </c>
      <c r="AG57" s="1">
        <v>-5</v>
      </c>
      <c r="AI57" s="1">
        <v>-20</v>
      </c>
      <c r="AJ57" s="1">
        <v>20</v>
      </c>
      <c r="AK57" s="1">
        <v>-10</v>
      </c>
      <c r="AN57" s="1">
        <v>-15</v>
      </c>
      <c r="AO57" s="1">
        <v>-7</v>
      </c>
      <c r="AP57" s="1">
        <v>15</v>
      </c>
      <c r="AQ57" s="1">
        <v>17</v>
      </c>
      <c r="AR57" s="1">
        <v>-5</v>
      </c>
      <c r="AS57" s="1">
        <v>-1</v>
      </c>
      <c r="AT57" s="1">
        <v>-10</v>
      </c>
      <c r="AU57" s="1">
        <v>20</v>
      </c>
      <c r="AX57" s="1">
        <v>-5</v>
      </c>
      <c r="AY57" s="1">
        <v>-6</v>
      </c>
    </row>
    <row r="58" spans="1:1477" s="1" customFormat="1" x14ac:dyDescent="0.35">
      <c r="A58" s="1">
        <v>800</v>
      </c>
      <c r="B58" s="1">
        <f t="shared" si="3"/>
        <v>20800</v>
      </c>
      <c r="C58" s="1" t="s">
        <v>18</v>
      </c>
      <c r="D58" s="12" t="s">
        <v>5</v>
      </c>
      <c r="E58" s="3" t="s">
        <v>52</v>
      </c>
      <c r="F58" s="1" t="s">
        <v>9</v>
      </c>
      <c r="G58" s="6">
        <f t="shared" si="2"/>
        <v>26</v>
      </c>
      <c r="I58" s="1">
        <v>2</v>
      </c>
      <c r="U58" s="1">
        <v>1</v>
      </c>
      <c r="V58" s="1">
        <v>-2</v>
      </c>
      <c r="X58" s="1">
        <v>1</v>
      </c>
      <c r="Z58" s="1">
        <v>-1</v>
      </c>
      <c r="AC58" s="1">
        <v>1</v>
      </c>
      <c r="AF58" s="1">
        <v>31</v>
      </c>
      <c r="AH58" s="1">
        <v>-14</v>
      </c>
      <c r="AK58" s="1">
        <v>15</v>
      </c>
      <c r="AM58" s="1">
        <v>-15</v>
      </c>
      <c r="AN58" s="1">
        <v>12</v>
      </c>
      <c r="AR58" s="1">
        <v>15</v>
      </c>
      <c r="AS58" s="1">
        <v>-6</v>
      </c>
      <c r="AU58" s="1">
        <v>-3</v>
      </c>
      <c r="AX58" s="1">
        <v>-20</v>
      </c>
      <c r="AY58" s="1">
        <v>9</v>
      </c>
    </row>
    <row r="59" spans="1:1477" s="1" customFormat="1" x14ac:dyDescent="0.35">
      <c r="A59" s="1">
        <v>870</v>
      </c>
      <c r="B59" s="1">
        <f t="shared" si="3"/>
        <v>69252</v>
      </c>
      <c r="C59" s="1" t="s">
        <v>18</v>
      </c>
      <c r="D59" s="12" t="s">
        <v>6</v>
      </c>
      <c r="E59" s="1">
        <v>3</v>
      </c>
      <c r="F59" s="1" t="s">
        <v>9</v>
      </c>
      <c r="G59" s="2">
        <f t="shared" si="2"/>
        <v>79.599999999999994</v>
      </c>
      <c r="L59" s="1">
        <v>-1</v>
      </c>
      <c r="M59" s="1">
        <v>2</v>
      </c>
      <c r="N59" s="1">
        <v>-1</v>
      </c>
      <c r="Z59" s="1">
        <v>-2</v>
      </c>
      <c r="AC59" s="1">
        <v>2</v>
      </c>
      <c r="AD59" s="1">
        <v>-1</v>
      </c>
      <c r="AF59" s="1">
        <v>25</v>
      </c>
      <c r="AG59" s="1">
        <v>23</v>
      </c>
      <c r="AH59" s="1">
        <v>24</v>
      </c>
      <c r="AI59" s="1">
        <v>-40</v>
      </c>
      <c r="AK59" s="1">
        <v>24</v>
      </c>
      <c r="AM59" s="1">
        <v>-20</v>
      </c>
      <c r="AN59" s="1">
        <v>23</v>
      </c>
      <c r="AT59" s="1">
        <v>-8</v>
      </c>
      <c r="AV59" s="1">
        <v>-18</v>
      </c>
      <c r="AW59" s="1">
        <v>-8</v>
      </c>
      <c r="AX59" s="1">
        <v>46</v>
      </c>
      <c r="AY59" s="1">
        <v>-16.399999999999999</v>
      </c>
      <c r="AZ59" s="1">
        <v>23</v>
      </c>
    </row>
  </sheetData>
  <conditionalFormatting sqref="C1:D1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96FAF-5CC5-43A8-8EF0-A3FA61FA9207}">
  <dimension ref="A1:B2"/>
  <sheetViews>
    <sheetView workbookViewId="0">
      <selection sqref="A1:B2"/>
    </sheetView>
  </sheetViews>
  <sheetFormatPr baseColWidth="10" defaultRowHeight="14.5" x14ac:dyDescent="0.35"/>
  <cols>
    <col min="1" max="1" width="20.36328125" bestFit="1" customWidth="1"/>
  </cols>
  <sheetData>
    <row r="1" spans="1:2" x14ac:dyDescent="0.35">
      <c r="A1" s="8" t="s">
        <v>53</v>
      </c>
      <c r="B1">
        <v>17</v>
      </c>
    </row>
    <row r="2" spans="1:2" x14ac:dyDescent="0.35">
      <c r="A2" s="8" t="s">
        <v>54</v>
      </c>
      <c r="B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Guerrero Vega</dc:creator>
  <cp:lastModifiedBy>Jorge Guerrero Vega</cp:lastModifiedBy>
  <dcterms:created xsi:type="dcterms:W3CDTF">2015-06-05T18:19:34Z</dcterms:created>
  <dcterms:modified xsi:type="dcterms:W3CDTF">2026-09-05T21:07:31Z</dcterms:modified>
</cp:coreProperties>
</file>